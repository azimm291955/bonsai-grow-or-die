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grade Analysis" sheetId="1" state="visible" r:id="rId3"/>
    <sheet name="Room Upgrade Matrix" sheetId="2" state="visible" r:id="rId4"/>
    <sheet name="Operations Detail" sheetId="3" state="visible" r:id="rId5"/>
    <sheet name="Lighting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<sst xmlns="http://schemas.openxmlformats.org/spreadsheetml/2006/main" count="255" uniqueCount="133">
  <si>
    <t xml:space="preserve">BONSAI UPGRADE ANALYSIS (Final Balanced)</t>
  </si>
  <si>
    <t xml:space="preserve">5.7 harvests/year | 3 Veg + 6 Flower optimal | Irrigation/Env now ~42 month payback</t>
  </si>
  <si>
    <t xml:space="preserve">Track</t>
  </si>
  <si>
    <t xml:space="preserve">Tier</t>
  </si>
  <si>
    <t xml:space="preserve">Name</t>
  </si>
  <si>
    <t xml:space="preserve">Cost</t>
  </si>
  <si>
    <t xml:space="preserve">Monthly Net Benefit</t>
  </si>
  <si>
    <t xml:space="preserve">Annual Benefit</t>
  </si>
  <si>
    <t xml:space="preserve">ROI %</t>
  </si>
  <si>
    <t xml:space="preserve">Payback (months)</t>
  </si>
  <si>
    <t xml:space="preserve">Key Effects</t>
  </si>
  <si>
    <t xml:space="preserve">Lighting</t>
  </si>
  <si>
    <t xml:space="preserve">T1</t>
  </si>
  <si>
    <t xml:space="preserve">HPS Upgrade</t>
  </si>
  <si>
    <t xml:space="preserve">Elec -15%, Yield +8%</t>
  </si>
  <si>
    <t xml:space="preserve">T2</t>
  </si>
  <si>
    <t xml:space="preserve">LED Hybrid</t>
  </si>
  <si>
    <t xml:space="preserve">Flower -1d, Elec -28%, Yield +18%</t>
  </si>
  <si>
    <t xml:space="preserve">T3</t>
  </si>
  <si>
    <t xml:space="preserve">Fluence/Fohse</t>
  </si>
  <si>
    <t xml:space="preserve">Flower -2d, Elec -40%, Yield +30%</t>
  </si>
  <si>
    <t xml:space="preserve">Irrigation/Environmental</t>
  </si>
  <si>
    <t xml:space="preserve">Basic Climate &amp; Watering</t>
  </si>
  <si>
    <t xml:space="preserve">Labor -8%, Nutrient -8%, CO2 -10%</t>
  </si>
  <si>
    <t xml:space="preserve">Automated + Monitoring</t>
  </si>
  <si>
    <t xml:space="preserve">Labor -16%, Nutrient -12%, CO2 -15%</t>
  </si>
  <si>
    <t xml:space="preserve">Full Integration</t>
  </si>
  <si>
    <t xml:space="preserve">Labor -25%, Nutrient -15%, CO2 -20%</t>
  </si>
  <si>
    <t xml:space="preserve">Genetics</t>
  </si>
  <si>
    <t xml:space="preserve">Proven Strains</t>
  </si>
  <si>
    <t xml:space="preserve">Yield +10%, Price +5%</t>
  </si>
  <si>
    <t xml:space="preserve">Premium Genetics</t>
  </si>
  <si>
    <t xml:space="preserve">Yield +22%, Price +10%</t>
  </si>
  <si>
    <t xml:space="preserve">Signature Strains</t>
  </si>
  <si>
    <t xml:space="preserve">Yield +35%, Price +12%</t>
  </si>
  <si>
    <t xml:space="preserve">Pre-Roll</t>
  </si>
  <si>
    <t xml:space="preserve">Hand Rolling</t>
  </si>
  <si>
    <t xml:space="preserve">+$8,000/mo gross (-15% ops)</t>
  </si>
  <si>
    <t xml:space="preserve">Semi-Auto Machine</t>
  </si>
  <si>
    <t xml:space="preserve">+$22,000/mo gross (-15% ops)</t>
  </si>
  <si>
    <t xml:space="preserve">Full Pre-Roll Line</t>
  </si>
  <si>
    <t xml:space="preserve">+$45,000/mo gross (-15% ops)</t>
  </si>
  <si>
    <t xml:space="preserve">Operations</t>
  </si>
  <si>
    <t xml:space="preserve">Head Grower</t>
  </si>
  <si>
    <t xml:space="preserve">Rot grace +2d, decay -10%</t>
  </si>
  <si>
    <t xml:space="preserve">Specialist</t>
  </si>
  <si>
    <t xml:space="preserve">Rot grace +4d, decay -20%</t>
  </si>
  <si>
    <t xml:space="preserve">Master Grower</t>
  </si>
  <si>
    <t xml:space="preserve">Rot grace +6d, decay -30%</t>
  </si>
  <si>
    <t xml:space="preserve">CALCULATION ASSUMPTIONS</t>
  </si>
  <si>
    <t xml:space="preserve">Harvests/Year</t>
  </si>
  <si>
    <t xml:space="preserve">5.7</t>
  </si>
  <si>
    <t xml:space="preserve">365 days ÷ 64-day flower cycle</t>
  </si>
  <si>
    <t xml:space="preserve">Monthly Labor Cost</t>
  </si>
  <si>
    <t xml:space="preserve">$8,000</t>
  </si>
  <si>
    <t xml:space="preserve">Per room baseline</t>
  </si>
  <si>
    <t xml:space="preserve">Monthly Electricity Cost</t>
  </si>
  <si>
    <t xml:space="preserve">$6,000</t>
  </si>
  <si>
    <t xml:space="preserve">Monthly Nutrients Cost</t>
  </si>
  <si>
    <t xml:space="preserve">$2,000</t>
  </si>
  <si>
    <t xml:space="preserve">Monthly CO2 Cost</t>
  </si>
  <si>
    <t xml:space="preserve">Average AMR</t>
  </si>
  <si>
    <t xml:space="preserve">$1,000/lb</t>
  </si>
  <si>
    <t xml:space="preserve">Conservative multi-year estimate</t>
  </si>
  <si>
    <t xml:space="preserve">Pre-Roll Operating Costs</t>
  </si>
  <si>
    <t xml:space="preserve">15%</t>
  </si>
  <si>
    <t xml:space="preserve">Labor, materials, QC, maintenance</t>
  </si>
  <si>
    <t xml:space="preserve">ROOM-BY-ROOM UPGRADE COSTS (with scaling)</t>
  </si>
  <si>
    <t xml:space="preserve">Cumulative Cost to Upgrade All Rooms to Max:</t>
  </si>
  <si>
    <t xml:space="preserve">All 8 Rooms (Rooms 2-9) at Max Upgrades:</t>
  </si>
  <si>
    <t xml:space="preserve">Single Room All Upgrades:</t>
  </si>
  <si>
    <t xml:space="preserve">Room 0: Veg Room</t>
  </si>
  <si>
    <t xml:space="preserve">Upgrade Track</t>
  </si>
  <si>
    <t xml:space="preserve">Max Cost</t>
  </si>
  <si>
    <t xml:space="preserve">Total Upgrade Cost</t>
  </si>
  <si>
    <t xml:space="preserve">Room 1: Flower 1</t>
  </si>
  <si>
    <t xml:space="preserve">Purchase Cost: $250,000</t>
  </si>
  <si>
    <t xml:space="preserve">Room 2: Flower 2</t>
  </si>
  <si>
    <t xml:space="preserve">Purchase Cost: $350,000</t>
  </si>
  <si>
    <t xml:space="preserve">Room 3: Flower 3</t>
  </si>
  <si>
    <t xml:space="preserve">Purchase Cost: $450,000</t>
  </si>
  <si>
    <t xml:space="preserve">Room 4: Flower 4</t>
  </si>
  <si>
    <t xml:space="preserve">Purchase Cost: $600,000</t>
  </si>
  <si>
    <t xml:space="preserve">Room 5: Flower 5</t>
  </si>
  <si>
    <t xml:space="preserve">Purchase Cost: $750,000</t>
  </si>
  <si>
    <t xml:space="preserve">Room 6: Flower 6</t>
  </si>
  <si>
    <t xml:space="preserve">Purchase Cost: $900,000</t>
  </si>
  <si>
    <t xml:space="preserve">Room 7: Flower 7</t>
  </si>
  <si>
    <t xml:space="preserve">Purchase Cost: $1,000,000</t>
  </si>
  <si>
    <t xml:space="preserve">Room 8: Flower 8</t>
  </si>
  <si>
    <t xml:space="preserve">Purchase Cost: $1,100,000</t>
  </si>
  <si>
    <t xml:space="preserve">OPERATIONS TRACK - DETAILED MECHANICS</t>
  </si>
  <si>
    <t xml:space="preserve">Operations upgrades provide TWO key benefits:</t>
  </si>
  <si>
    <t xml:space="preserve">1. ROT CLOCK PROTECTION (extends harvest window)</t>
  </si>
  <si>
    <t xml:space="preserve">   • Base game: 4 days grace period before rot starts</t>
  </si>
  <si>
    <t xml:space="preserve">   • T1 Head Grower: +2 days grace (6 days total)</t>
  </si>
  <si>
    <t xml:space="preserve">   • T2 Specialist: +4 days grace (8 days total)</t>
  </si>
  <si>
    <t xml:space="preserve">   • T3 Master Grower: +6 days grace (10 days total)</t>
  </si>
  <si>
    <t xml:space="preserve">2. SLOWER ROT DECAY (once rot starts)</t>
  </si>
  <si>
    <t xml:space="preserve">   • Base game: 30% quality lost in first 8 days of rot</t>
  </si>
  <si>
    <t xml:space="preserve">   • T1: Decay reduced by 10% (more forgiving)</t>
  </si>
  <si>
    <t xml:space="preserve">   • T2: Decay reduced by 20% (much slower rot)</t>
  </si>
  <si>
    <t xml:space="preserve">   • T3: Decay reduced by 30% (barely perceptible rot)</t>
  </si>
  <si>
    <t xml:space="preserve">STRATEGIC VALUE:</t>
  </si>
  <si>
    <t xml:space="preserve">• Prevents crop loss when harvests are delayed</t>
  </si>
  <si>
    <t xml:space="preserve">• Enables more flexibility in harvest scheduling</t>
  </si>
  <si>
    <t xml:space="preserve">• Allows auto-flip farming (3 veg + 6 flower setup)</t>
  </si>
  <si>
    <t xml:space="preserve">• Grace period = safety margin for scheduling conflicts</t>
  </si>
  <si>
    <t xml:space="preserve">EXAMPLE: With T3 Master Grower</t>
  </si>
  <si>
    <t xml:space="preserve">• Flower room finishes Sunday 8pm</t>
  </si>
  <si>
    <t xml:space="preserve">• You harvest Monday 9am (13 hours late)</t>
  </si>
  <si>
    <t xml:space="preserve">• With 10-day grace period: ZERO rot damage</t>
  </si>
  <si>
    <t xml:space="preserve">• Can harvest anytime in those 10 days</t>
  </si>
  <si>
    <t xml:space="preserve">LIGHTING TRACK - CYCLE TIME BENEFITS</t>
  </si>
  <si>
    <t xml:space="preserve">T1: HPS Upgrade</t>
  </si>
  <si>
    <t xml:space="preserve">   • Cost: $120,000</t>
  </si>
  <si>
    <t xml:space="preserve">   • 8% yield increase, 15% electricity savings</t>
  </si>
  <si>
    <t xml:space="preserve">   • No cycle reduction</t>
  </si>
  <si>
    <t xml:space="preserve">T2: LED Hybrid</t>
  </si>
  <si>
    <t xml:space="preserve">   • Cost: $280,000</t>
  </si>
  <si>
    <t xml:space="preserve">   • 18% yield increase, 28% electricity savings</t>
  </si>
  <si>
    <t xml:space="preserve">   • -1 day in flower (64 → 63 days)</t>
  </si>
  <si>
    <t xml:space="preserve">   • Extra harvests/year: +0.6 = ~$78,000 additional annual value</t>
  </si>
  <si>
    <t xml:space="preserve">T3: Fluence/Fohse Full LED</t>
  </si>
  <si>
    <t xml:space="preserve">   • Cost: $520,000</t>
  </si>
  <si>
    <t xml:space="preserve">   • 30% yield increase, 40% electricity savings</t>
  </si>
  <si>
    <t xml:space="preserve">   • -2 days in flower (64 → 62 days)</t>
  </si>
  <si>
    <t xml:space="preserve">   • Extra harvests/year: +1.1 = ~$143,000 additional annual value</t>
  </si>
  <si>
    <t xml:space="preserve">ROI IMPROVED BY CYCLE REDUCTION:</t>
  </si>
  <si>
    <t xml:space="preserve">• Each 1-day reduction = ~1.3 extra harvests/year</t>
  </si>
  <si>
    <t xml:space="preserve">• 1.3 harvests × 420 lbs × $1,000/lb = ~$130,000/year per room</t>
  </si>
  <si>
    <t xml:space="preserve">• T3 with 2-day reduction = $260,000+/year in extra revenue</t>
  </si>
  <si>
    <t xml:space="preserve">• This makes T3 expensive but justified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</si>
</sst>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D5" s="4" t="n">
        <v>120000</v>
      </c>
      <c r="E5" s="4" t="n">
        <v>16868.75</v>
      </c>
      <c r="F5" s="4" t="n">
        <f aca="false">E5*12</f>
        <v>202425</v>
      </c>
      <c r="G5" s="5" t="n">
        <f aca="false">F5/D5*100</f>
        <v>168.6875</v>
      </c>
      <c r="H5" s="5" t="n">
        <f aca="false">IF(E5&gt;0,D5/E5,999)</f>
        <v>7.11374583178955</v>
      </c>
      <c r="I5" s="0" t="s">
        <v>14</v>
      </c>
    </row>
    <row r="6" customFormat="false" ht="15" hidden="false" customHeight="false" outlineLevel="0" collapsed="false">
      <c r="A6" s="0" t="s">
        <v>11</v>
      </c>
      <c r="B6" s="0" t="s">
        <v>15</v>
      </c>
      <c r="C6" s="0" t="s">
        <v>16</v>
      </c>
      <c r="D6" s="4" t="n">
        <v>280000</v>
      </c>
      <c r="E6" s="4" t="n">
        <v>37609.6875</v>
      </c>
      <c r="F6" s="4" t="n">
        <f aca="false">E6*12</f>
        <v>451316.25</v>
      </c>
      <c r="G6" s="5" t="n">
        <f aca="false">F6/D6*100</f>
        <v>161.184375</v>
      </c>
      <c r="H6" s="5" t="n">
        <f aca="false">IF(E6&gt;0,D6/E6,999)</f>
        <v>7.44489036235678</v>
      </c>
      <c r="I6" s="0" t="s">
        <v>17</v>
      </c>
    </row>
    <row r="7" customFormat="false" ht="15" hidden="false" customHeight="false" outlineLevel="0" collapsed="false">
      <c r="A7" s="0" t="s">
        <v>11</v>
      </c>
      <c r="B7" s="0" t="s">
        <v>18</v>
      </c>
      <c r="C7" s="0" t="s">
        <v>19</v>
      </c>
      <c r="D7" s="4" t="n">
        <v>520000</v>
      </c>
      <c r="E7" s="4" t="n">
        <v>62282.8125</v>
      </c>
      <c r="F7" s="4" t="n">
        <f aca="false">E7*12</f>
        <v>747393.75</v>
      </c>
      <c r="G7" s="5" t="n">
        <f aca="false">F7/D7*100</f>
        <v>143.729567307692</v>
      </c>
      <c r="H7" s="5" t="n">
        <f aca="false">IF(E7&gt;0,D7/E7,999)</f>
        <v>8.34901281954793</v>
      </c>
      <c r="I7" s="0" t="s">
        <v>20</v>
      </c>
    </row>
    <row r="8" customFormat="false" ht="15" hidden="false" customHeight="false" outlineLevel="0" collapsed="false">
      <c r="A8" s="0" t="s">
        <v>21</v>
      </c>
      <c r="B8" s="0" t="s">
        <v>12</v>
      </c>
      <c r="C8" s="0" t="s">
        <v>22</v>
      </c>
      <c r="D8" s="4" t="n">
        <v>42000</v>
      </c>
      <c r="E8" s="4" t="n">
        <v>1000</v>
      </c>
      <c r="F8" s="4" t="n">
        <f aca="false">E8*12</f>
        <v>12000</v>
      </c>
      <c r="G8" s="5" t="n">
        <f aca="false">F8/D8*100</f>
        <v>28.5714285714286</v>
      </c>
      <c r="H8" s="5" t="n">
        <f aca="false">IF(E8&gt;0,D8/E8,999)</f>
        <v>42</v>
      </c>
      <c r="I8" s="0" t="s">
        <v>23</v>
      </c>
    </row>
    <row r="9" customFormat="false" ht="15" hidden="false" customHeight="false" outlineLevel="0" collapsed="false">
      <c r="A9" s="0" t="s">
        <v>21</v>
      </c>
      <c r="B9" s="0" t="s">
        <v>15</v>
      </c>
      <c r="C9" s="0" t="s">
        <v>24</v>
      </c>
      <c r="D9" s="4" t="n">
        <v>76000</v>
      </c>
      <c r="E9" s="4" t="n">
        <v>1820</v>
      </c>
      <c r="F9" s="4" t="n">
        <f aca="false">E9*12</f>
        <v>21840</v>
      </c>
      <c r="G9" s="5" t="n">
        <f aca="false">F9/D9*100</f>
        <v>28.7368421052632</v>
      </c>
      <c r="H9" s="5" t="n">
        <f aca="false">IF(E9&gt;0,D9/E9,999)</f>
        <v>41.7582417582418</v>
      </c>
      <c r="I9" s="0" t="s">
        <v>25</v>
      </c>
    </row>
    <row r="10" customFormat="false" ht="15" hidden="false" customHeight="false" outlineLevel="0" collapsed="false">
      <c r="A10" s="0" t="s">
        <v>21</v>
      </c>
      <c r="B10" s="0" t="s">
        <v>18</v>
      </c>
      <c r="C10" s="0" t="s">
        <v>26</v>
      </c>
      <c r="D10" s="4" t="n">
        <v>113000</v>
      </c>
      <c r="E10" s="4" t="n">
        <v>2700</v>
      </c>
      <c r="F10" s="4" t="n">
        <f aca="false">E10*12</f>
        <v>32400</v>
      </c>
      <c r="G10" s="5" t="n">
        <f aca="false">F10/D10*100</f>
        <v>28.6725663716814</v>
      </c>
      <c r="H10" s="5" t="n">
        <f aca="false">IF(E10&gt;0,D10/E10,999)</f>
        <v>41.8518518518519</v>
      </c>
      <c r="I10" s="0" t="s">
        <v>27</v>
      </c>
    </row>
    <row r="11" customFormat="false" ht="15" hidden="false" customHeight="false" outlineLevel="0" collapsed="false">
      <c r="A11" s="0" t="s">
        <v>28</v>
      </c>
      <c r="B11" s="0" t="s">
        <v>12</v>
      </c>
      <c r="C11" s="0" t="s">
        <v>29</v>
      </c>
      <c r="D11" s="4" t="n">
        <v>100000</v>
      </c>
      <c r="E11" s="4" t="n">
        <v>29941.40625</v>
      </c>
      <c r="F11" s="4" t="n">
        <f aca="false">E11*12</f>
        <v>359296.875</v>
      </c>
      <c r="G11" s="5" t="n">
        <f aca="false">F11/D11*100</f>
        <v>359.296875</v>
      </c>
      <c r="H11" s="5" t="n">
        <f aca="false">IF(E11&gt;0,D11/E11,999)</f>
        <v>3.33985649054142</v>
      </c>
      <c r="I11" s="0" t="s">
        <v>30</v>
      </c>
    </row>
    <row r="12" customFormat="false" ht="15" hidden="false" customHeight="false" outlineLevel="0" collapsed="false">
      <c r="A12" s="0" t="s">
        <v>28</v>
      </c>
      <c r="B12" s="0" t="s">
        <v>15</v>
      </c>
      <c r="C12" s="0" t="s">
        <v>31</v>
      </c>
      <c r="D12" s="4" t="n">
        <v>250000</v>
      </c>
      <c r="E12" s="4" t="n">
        <v>63875</v>
      </c>
      <c r="F12" s="4" t="n">
        <f aca="false">E12*12</f>
        <v>766500</v>
      </c>
      <c r="G12" s="5" t="n">
        <f aca="false">F12/D12*100</f>
        <v>306.6</v>
      </c>
      <c r="H12" s="5" t="n">
        <f aca="false">IF(E12&gt;0,D12/E12,999)</f>
        <v>3.91389432485323</v>
      </c>
      <c r="I12" s="0" t="s">
        <v>32</v>
      </c>
    </row>
    <row r="13" customFormat="false" ht="15" hidden="false" customHeight="false" outlineLevel="0" collapsed="false">
      <c r="A13" s="0" t="s">
        <v>28</v>
      </c>
      <c r="B13" s="0" t="s">
        <v>18</v>
      </c>
      <c r="C13" s="0" t="s">
        <v>33</v>
      </c>
      <c r="D13" s="4" t="n">
        <v>500000</v>
      </c>
      <c r="E13" s="4" t="n">
        <v>93816.40625</v>
      </c>
      <c r="F13" s="4" t="n">
        <f aca="false">E13*12</f>
        <v>1125796.875</v>
      </c>
      <c r="G13" s="5" t="n">
        <f aca="false">F13/D13*100</f>
        <v>225.159375</v>
      </c>
      <c r="H13" s="5" t="n">
        <f aca="false">IF(E13&gt;0,D13/E13,999)</f>
        <v>5.32955822958738</v>
      </c>
      <c r="I13" s="0" t="s">
        <v>34</v>
      </c>
    </row>
    <row r="14" customFormat="false" ht="15" hidden="false" customHeight="false" outlineLevel="0" collapsed="false">
      <c r="A14" s="0" t="s">
        <v>35</v>
      </c>
      <c r="B14" s="0" t="s">
        <v>12</v>
      </c>
      <c r="C14" s="0" t="s">
        <v>36</v>
      </c>
      <c r="D14" s="4" t="n">
        <v>75000</v>
      </c>
      <c r="E14" s="4" t="n">
        <v>6800</v>
      </c>
      <c r="F14" s="4" t="n">
        <f aca="false">E14*12</f>
        <v>81600</v>
      </c>
      <c r="G14" s="5" t="n">
        <f aca="false">F14/D14*100</f>
        <v>108.8</v>
      </c>
      <c r="H14" s="5" t="n">
        <f aca="false">IF(E14&gt;0,D14/E14,999)</f>
        <v>11.0294117647059</v>
      </c>
      <c r="I14" s="0" t="s">
        <v>37</v>
      </c>
    </row>
    <row r="15" customFormat="false" ht="15" hidden="false" customHeight="false" outlineLevel="0" collapsed="false">
      <c r="A15" s="0" t="s">
        <v>35</v>
      </c>
      <c r="B15" s="0" t="s">
        <v>15</v>
      </c>
      <c r="C15" s="0" t="s">
        <v>38</v>
      </c>
      <c r="D15" s="4" t="n">
        <v>180000</v>
      </c>
      <c r="E15" s="4" t="n">
        <v>18700</v>
      </c>
      <c r="F15" s="4" t="n">
        <f aca="false">E15*12</f>
        <v>224400</v>
      </c>
      <c r="G15" s="5" t="n">
        <f aca="false">F15/D15*100</f>
        <v>124.666666666667</v>
      </c>
      <c r="H15" s="5" t="n">
        <f aca="false">IF(E15&gt;0,D15/E15,999)</f>
        <v>9.62566844919786</v>
      </c>
      <c r="I15" s="0" t="s">
        <v>39</v>
      </c>
    </row>
    <row r="16" customFormat="false" ht="15" hidden="false" customHeight="false" outlineLevel="0" collapsed="false">
      <c r="A16" s="0" t="s">
        <v>35</v>
      </c>
      <c r="B16" s="0" t="s">
        <v>18</v>
      </c>
      <c r="C16" s="0" t="s">
        <v>40</v>
      </c>
      <c r="D16" s="4" t="n">
        <v>380000</v>
      </c>
      <c r="E16" s="4" t="n">
        <v>38250</v>
      </c>
      <c r="F16" s="4" t="n">
        <f aca="false">E16*12</f>
        <v>459000</v>
      </c>
      <c r="G16" s="5" t="n">
        <f aca="false">F16/D16*100</f>
        <v>120.789473684211</v>
      </c>
      <c r="H16" s="5" t="n">
        <f aca="false">IF(E16&gt;0,D16/E16,999)</f>
        <v>9.93464052287582</v>
      </c>
      <c r="I16" s="0" t="s">
        <v>41</v>
      </c>
    </row>
    <row r="17" customFormat="false" ht="15" hidden="false" customHeight="false" outlineLevel="0" collapsed="false">
      <c r="A17" s="0" t="s">
        <v>42</v>
      </c>
      <c r="B17" s="0" t="s">
        <v>12</v>
      </c>
      <c r="C17" s="0" t="s">
        <v>43</v>
      </c>
      <c r="D17" s="4" t="n">
        <v>100000</v>
      </c>
      <c r="E17" s="4" t="n">
        <v>0</v>
      </c>
      <c r="F17" s="4" t="n">
        <f aca="false">E17*12</f>
        <v>0</v>
      </c>
      <c r="G17" s="5" t="n">
        <f aca="false">F17/D17*100</f>
        <v>0</v>
      </c>
      <c r="H17" s="5" t="n">
        <f aca="false">IF(E17&gt;0,D17/E17,999)</f>
        <v>999</v>
      </c>
      <c r="I17" s="0" t="s">
        <v>44</v>
      </c>
    </row>
    <row r="18" customFormat="false" ht="15" hidden="false" customHeight="false" outlineLevel="0" collapsed="false">
      <c r="A18" s="0" t="s">
        <v>42</v>
      </c>
      <c r="B18" s="0" t="s">
        <v>15</v>
      </c>
      <c r="C18" s="0" t="s">
        <v>45</v>
      </c>
      <c r="D18" s="4" t="n">
        <v>200000</v>
      </c>
      <c r="E18" s="4" t="n">
        <v>0</v>
      </c>
      <c r="F18" s="4" t="n">
        <f aca="false">E18*12</f>
        <v>0</v>
      </c>
      <c r="G18" s="5" t="n">
        <f aca="false">F18/D18*100</f>
        <v>0</v>
      </c>
      <c r="H18" s="5" t="n">
        <f aca="false">IF(E18&gt;0,D18/E18,999)</f>
        <v>999</v>
      </c>
      <c r="I18" s="0" t="s">
        <v>46</v>
      </c>
    </row>
    <row r="19" customFormat="false" ht="15" hidden="false" customHeight="false" outlineLevel="0" collapsed="false">
      <c r="A19" s="0" t="s">
        <v>42</v>
      </c>
      <c r="B19" s="0" t="s">
        <v>18</v>
      </c>
      <c r="C19" s="0" t="s">
        <v>47</v>
      </c>
      <c r="D19" s="4" t="n">
        <v>350000</v>
      </c>
      <c r="E19" s="4" t="n">
        <v>0</v>
      </c>
      <c r="F19" s="4" t="n">
        <f aca="false">E19*12</f>
        <v>0</v>
      </c>
      <c r="G19" s="5" t="n">
        <f aca="false">F19/D19*100</f>
        <v>0</v>
      </c>
      <c r="H19" s="5" t="n">
        <f aca="false">IF(E19&gt;0,D19/E19,999)</f>
        <v>999</v>
      </c>
      <c r="I19" s="0" t="s">
        <v>48</v>
      </c>
    </row>
    <row r="22" customFormat="false" ht="15" hidden="false" customHeight="false" outlineLevel="0" collapsed="false">
      <c r="A22" s="6" t="s">
        <v>49</v>
      </c>
    </row>
    <row r="23" customFormat="false" ht="15" hidden="false" customHeight="false" outlineLevel="0" collapsed="false">
      <c r="A23" s="6" t="s">
        <v>50</v>
      </c>
      <c r="B23" s="7" t="s">
        <v>51</v>
      </c>
      <c r="C23" s="0" t="s">
        <v>52</v>
      </c>
    </row>
    <row r="24" customFormat="false" ht="15" hidden="false" customHeight="false" outlineLevel="0" collapsed="false">
      <c r="A24" s="6" t="s">
        <v>53</v>
      </c>
      <c r="B24" s="7" t="s">
        <v>54</v>
      </c>
      <c r="C24" s="0" t="s">
        <v>55</v>
      </c>
    </row>
    <row r="25" customFormat="false" ht="15" hidden="false" customHeight="false" outlineLevel="0" collapsed="false">
      <c r="A25" s="6" t="s">
        <v>56</v>
      </c>
      <c r="B25" s="7" t="s">
        <v>57</v>
      </c>
      <c r="C25" s="0" t="s">
        <v>55</v>
      </c>
    </row>
    <row r="26" customFormat="false" ht="15" hidden="false" customHeight="false" outlineLevel="0" collapsed="false">
      <c r="A26" s="6" t="s">
        <v>58</v>
      </c>
      <c r="B26" s="7" t="s">
        <v>59</v>
      </c>
      <c r="C26" s="0" t="s">
        <v>55</v>
      </c>
    </row>
    <row r="27" customFormat="false" ht="15" hidden="false" customHeight="false" outlineLevel="0" collapsed="false">
      <c r="A27" s="6" t="s">
        <v>60</v>
      </c>
      <c r="B27" s="7" t="s">
        <v>59</v>
      </c>
      <c r="C27" s="0" t="s">
        <v>55</v>
      </c>
    </row>
    <row r="28" customFormat="false" ht="15" hidden="false" customHeight="false" outlineLevel="0" collapsed="false">
      <c r="A28" s="6" t="s">
        <v>61</v>
      </c>
      <c r="B28" s="7" t="s">
        <v>62</v>
      </c>
      <c r="C28" s="0" t="s">
        <v>63</v>
      </c>
    </row>
    <row r="29" customFormat="false" ht="15" hidden="false" customHeight="false" outlineLevel="0" collapsed="false">
      <c r="A29" s="6" t="s">
        <v>64</v>
      </c>
      <c r="B29" s="7" t="s">
        <v>65</v>
      </c>
      <c r="C2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8" t="s">
        <v>67</v>
      </c>
    </row>
    <row r="2" customFormat="false" ht="15" hidden="false" customHeight="false" outlineLevel="0" collapsed="false">
      <c r="A2" s="6" t="s">
        <v>68</v>
      </c>
    </row>
    <row r="3" customFormat="false" ht="15" hidden="false" customHeight="false" outlineLevel="0" collapsed="false">
      <c r="A3" s="0" t="s">
        <v>69</v>
      </c>
      <c r="B3" s="9" t="n">
        <f aca="false">8*3286000</f>
        <v>26288000</v>
      </c>
    </row>
    <row r="4" customFormat="false" ht="15" hidden="false" customHeight="false" outlineLevel="0" collapsed="false">
      <c r="A4" s="0" t="s">
        <v>70</v>
      </c>
      <c r="B4" s="10" t="n">
        <v>3286000</v>
      </c>
    </row>
    <row r="7" customFormat="false" ht="15" hidden="false" customHeight="false" outlineLevel="0" collapsed="false">
      <c r="A7" s="3" t="s">
        <v>71</v>
      </c>
    </row>
    <row r="8" customFormat="false" ht="15" hidden="false" customHeight="false" outlineLevel="0" collapsed="false">
      <c r="A8" s="11" t="s">
        <v>72</v>
      </c>
      <c r="B8" s="11" t="s">
        <v>12</v>
      </c>
      <c r="C8" s="11" t="s">
        <v>15</v>
      </c>
      <c r="D8" s="11" t="s">
        <v>18</v>
      </c>
      <c r="E8" s="11" t="s">
        <v>73</v>
      </c>
    </row>
    <row r="9" customFormat="false" ht="15" hidden="false" customHeight="false" outlineLevel="0" collapsed="false">
      <c r="A9" s="0" t="s">
        <v>11</v>
      </c>
      <c r="B9" s="4" t="n">
        <v>120000</v>
      </c>
      <c r="C9" s="4" t="n">
        <v>280000</v>
      </c>
      <c r="D9" s="4" t="n">
        <v>520000</v>
      </c>
      <c r="E9" s="12" t="n">
        <f aca="false">SUM(B9:D9)</f>
        <v>920000</v>
      </c>
    </row>
    <row r="10" customFormat="false" ht="15" hidden="false" customHeight="false" outlineLevel="0" collapsed="false">
      <c r="A10" s="0" t="s">
        <v>21</v>
      </c>
      <c r="B10" s="4" t="n">
        <v>42000</v>
      </c>
      <c r="C10" s="4" t="n">
        <v>76000</v>
      </c>
      <c r="D10" s="4" t="n">
        <v>113000</v>
      </c>
      <c r="E10" s="12" t="n">
        <f aca="false">SUM(B10:D10)</f>
        <v>231000</v>
      </c>
    </row>
    <row r="11" customFormat="false" ht="15" hidden="false" customHeight="false" outlineLevel="0" collapsed="false">
      <c r="A11" s="0" t="s">
        <v>28</v>
      </c>
      <c r="B11" s="4" t="n">
        <v>100000</v>
      </c>
      <c r="C11" s="4" t="n">
        <v>250000</v>
      </c>
      <c r="D11" s="4" t="n">
        <v>500000</v>
      </c>
      <c r="E11" s="12" t="n">
        <f aca="false">SUM(B11:D11)</f>
        <v>850000</v>
      </c>
    </row>
    <row r="12" customFormat="false" ht="15" hidden="false" customHeight="false" outlineLevel="0" collapsed="false">
      <c r="A12" s="0" t="s">
        <v>35</v>
      </c>
      <c r="B12" s="4" t="n">
        <v>75000</v>
      </c>
      <c r="C12" s="4" t="n">
        <v>180000</v>
      </c>
      <c r="D12" s="4" t="n">
        <v>380000</v>
      </c>
      <c r="E12" s="12" t="n">
        <f aca="false">SUM(B12:D12)</f>
        <v>635000</v>
      </c>
    </row>
    <row r="13" customFormat="false" ht="15" hidden="false" customHeight="false" outlineLevel="0" collapsed="false">
      <c r="A13" s="0" t="s">
        <v>42</v>
      </c>
      <c r="B13" s="4" t="n">
        <v>100000</v>
      </c>
      <c r="C13" s="4" t="n">
        <v>200000</v>
      </c>
      <c r="D13" s="4" t="n">
        <v>350000</v>
      </c>
      <c r="E13" s="12" t="n">
        <f aca="false">SUM(B13:D13)</f>
        <v>650000</v>
      </c>
    </row>
    <row r="14" customFormat="false" ht="15" hidden="false" customHeight="false" outlineLevel="0" collapsed="false">
      <c r="A14" s="6" t="s">
        <v>74</v>
      </c>
      <c r="E14" s="12" t="n">
        <f aca="false">SUM(E9:E13)</f>
        <v>3286000</v>
      </c>
    </row>
    <row r="17" customFormat="false" ht="15" hidden="false" customHeight="false" outlineLevel="0" collapsed="false">
      <c r="A17" s="3" t="s">
        <v>75</v>
      </c>
      <c r="B17" s="13" t="s">
        <v>76</v>
      </c>
    </row>
    <row r="18" customFormat="false" ht="15" hidden="false" customHeight="false" outlineLevel="0" collapsed="false">
      <c r="A18" s="11" t="s">
        <v>72</v>
      </c>
      <c r="B18" s="11" t="s">
        <v>12</v>
      </c>
      <c r="C18" s="11" t="s">
        <v>15</v>
      </c>
      <c r="D18" s="11" t="s">
        <v>18</v>
      </c>
      <c r="E18" s="11" t="s">
        <v>73</v>
      </c>
    </row>
    <row r="19" customFormat="false" ht="15" hidden="false" customHeight="false" outlineLevel="0" collapsed="false">
      <c r="A19" s="0" t="s">
        <v>11</v>
      </c>
      <c r="B19" s="4" t="n">
        <v>120000</v>
      </c>
      <c r="C19" s="4" t="n">
        <v>280000</v>
      </c>
      <c r="D19" s="4" t="n">
        <v>520000</v>
      </c>
      <c r="E19" s="12" t="n">
        <f aca="false">SUM(B19:D19)</f>
        <v>920000</v>
      </c>
    </row>
    <row r="20" customFormat="false" ht="15" hidden="false" customHeight="false" outlineLevel="0" collapsed="false">
      <c r="A20" s="0" t="s">
        <v>21</v>
      </c>
      <c r="B20" s="4" t="n">
        <v>42000</v>
      </c>
      <c r="C20" s="4" t="n">
        <v>76000</v>
      </c>
      <c r="D20" s="4" t="n">
        <v>113000</v>
      </c>
      <c r="E20" s="12" t="n">
        <f aca="false">SUM(B20:D20)</f>
        <v>231000</v>
      </c>
    </row>
    <row r="21" customFormat="false" ht="15" hidden="false" customHeight="false" outlineLevel="0" collapsed="false">
      <c r="A21" s="0" t="s">
        <v>28</v>
      </c>
      <c r="B21" s="4" t="n">
        <v>100000</v>
      </c>
      <c r="C21" s="4" t="n">
        <v>250000</v>
      </c>
      <c r="D21" s="4" t="n">
        <v>500000</v>
      </c>
      <c r="E21" s="12" t="n">
        <f aca="false">SUM(B21:D21)</f>
        <v>850000</v>
      </c>
    </row>
    <row r="22" customFormat="false" ht="15" hidden="false" customHeight="false" outlineLevel="0" collapsed="false">
      <c r="A22" s="0" t="s">
        <v>35</v>
      </c>
      <c r="B22" s="4" t="n">
        <v>75000</v>
      </c>
      <c r="C22" s="4" t="n">
        <v>180000</v>
      </c>
      <c r="D22" s="4" t="n">
        <v>380000</v>
      </c>
      <c r="E22" s="12" t="n">
        <f aca="false">SUM(B22:D22)</f>
        <v>635000</v>
      </c>
    </row>
    <row r="23" customFormat="false" ht="15" hidden="false" customHeight="false" outlineLevel="0" collapsed="false">
      <c r="A23" s="0" t="s">
        <v>42</v>
      </c>
      <c r="B23" s="4" t="n">
        <v>100000</v>
      </c>
      <c r="C23" s="4" t="n">
        <v>200000</v>
      </c>
      <c r="D23" s="4" t="n">
        <v>350000</v>
      </c>
      <c r="E23" s="12" t="n">
        <f aca="false">SUM(B23:D23)</f>
        <v>650000</v>
      </c>
    </row>
    <row r="24" customFormat="false" ht="15" hidden="false" customHeight="false" outlineLevel="0" collapsed="false">
      <c r="A24" s="6" t="s">
        <v>74</v>
      </c>
      <c r="E24" s="12" t="n">
        <f aca="false">SUM(E19:E23)</f>
        <v>3286000</v>
      </c>
    </row>
    <row r="27" customFormat="false" ht="15" hidden="false" customHeight="false" outlineLevel="0" collapsed="false">
      <c r="A27" s="3" t="s">
        <v>77</v>
      </c>
      <c r="B27" s="13" t="s">
        <v>78</v>
      </c>
    </row>
    <row r="28" customFormat="false" ht="15" hidden="false" customHeight="false" outlineLevel="0" collapsed="false">
      <c r="A28" s="11" t="s">
        <v>72</v>
      </c>
      <c r="B28" s="11" t="s">
        <v>12</v>
      </c>
      <c r="C28" s="11" t="s">
        <v>15</v>
      </c>
      <c r="D28" s="11" t="s">
        <v>18</v>
      </c>
      <c r="E28" s="11" t="s">
        <v>73</v>
      </c>
    </row>
    <row r="29" customFormat="false" ht="15" hidden="false" customHeight="false" outlineLevel="0" collapsed="false">
      <c r="A29" s="0" t="s">
        <v>11</v>
      </c>
      <c r="B29" s="4" t="n">
        <v>120000</v>
      </c>
      <c r="C29" s="4" t="n">
        <v>280000</v>
      </c>
      <c r="D29" s="4" t="n">
        <v>520000</v>
      </c>
      <c r="E29" s="12" t="n">
        <f aca="false">SUM(B29:D29)</f>
        <v>920000</v>
      </c>
    </row>
    <row r="30" customFormat="false" ht="15" hidden="false" customHeight="false" outlineLevel="0" collapsed="false">
      <c r="A30" s="0" t="s">
        <v>21</v>
      </c>
      <c r="B30" s="4" t="n">
        <v>42000</v>
      </c>
      <c r="C30" s="4" t="n">
        <v>76000</v>
      </c>
      <c r="D30" s="4" t="n">
        <v>113000</v>
      </c>
      <c r="E30" s="12" t="n">
        <f aca="false">SUM(B30:D30)</f>
        <v>231000</v>
      </c>
    </row>
    <row r="31" customFormat="false" ht="15" hidden="false" customHeight="false" outlineLevel="0" collapsed="false">
      <c r="A31" s="0" t="s">
        <v>28</v>
      </c>
      <c r="B31" s="4" t="n">
        <v>100000</v>
      </c>
      <c r="C31" s="4" t="n">
        <v>250000</v>
      </c>
      <c r="D31" s="4" t="n">
        <v>500000</v>
      </c>
      <c r="E31" s="12" t="n">
        <f aca="false">SUM(B31:D31)</f>
        <v>850000</v>
      </c>
    </row>
    <row r="32" customFormat="false" ht="15" hidden="false" customHeight="false" outlineLevel="0" collapsed="false">
      <c r="A32" s="0" t="s">
        <v>35</v>
      </c>
      <c r="B32" s="4" t="n">
        <v>75000</v>
      </c>
      <c r="C32" s="4" t="n">
        <v>180000</v>
      </c>
      <c r="D32" s="4" t="n">
        <v>380000</v>
      </c>
      <c r="E32" s="12" t="n">
        <f aca="false">SUM(B32:D32)</f>
        <v>635000</v>
      </c>
    </row>
    <row r="33" customFormat="false" ht="15" hidden="false" customHeight="false" outlineLevel="0" collapsed="false">
      <c r="A33" s="0" t="s">
        <v>42</v>
      </c>
      <c r="B33" s="4" t="n">
        <v>100000</v>
      </c>
      <c r="C33" s="4" t="n">
        <v>200000</v>
      </c>
      <c r="D33" s="4" t="n">
        <v>350000</v>
      </c>
      <c r="E33" s="12" t="n">
        <f aca="false">SUM(B33:D33)</f>
        <v>650000</v>
      </c>
    </row>
    <row r="34" customFormat="false" ht="15" hidden="false" customHeight="false" outlineLevel="0" collapsed="false">
      <c r="A34" s="6" t="s">
        <v>74</v>
      </c>
      <c r="E34" s="12" t="n">
        <f aca="false">SUM(E29:E33)</f>
        <v>3286000</v>
      </c>
    </row>
    <row r="37" customFormat="false" ht="15" hidden="false" customHeight="false" outlineLevel="0" collapsed="false">
      <c r="A37" s="3" t="s">
        <v>79</v>
      </c>
      <c r="B37" s="13" t="s">
        <v>80</v>
      </c>
    </row>
    <row r="38" customFormat="false" ht="15" hidden="false" customHeight="false" outlineLevel="0" collapsed="false">
      <c r="A38" s="11" t="s">
        <v>72</v>
      </c>
      <c r="B38" s="11" t="s">
        <v>12</v>
      </c>
      <c r="C38" s="11" t="s">
        <v>15</v>
      </c>
      <c r="D38" s="11" t="s">
        <v>18</v>
      </c>
      <c r="E38" s="11" t="s">
        <v>73</v>
      </c>
    </row>
    <row r="39" customFormat="false" ht="15" hidden="false" customHeight="false" outlineLevel="0" collapsed="false">
      <c r="A39" s="0" t="s">
        <v>11</v>
      </c>
      <c r="B39" s="4" t="n">
        <v>120000</v>
      </c>
      <c r="C39" s="4" t="n">
        <v>280000</v>
      </c>
      <c r="D39" s="4" t="n">
        <v>520000</v>
      </c>
      <c r="E39" s="12" t="n">
        <f aca="false">SUM(B39:D39)</f>
        <v>920000</v>
      </c>
    </row>
    <row r="40" customFormat="false" ht="15" hidden="false" customHeight="false" outlineLevel="0" collapsed="false">
      <c r="A40" s="0" t="s">
        <v>21</v>
      </c>
      <c r="B40" s="4" t="n">
        <v>42000</v>
      </c>
      <c r="C40" s="4" t="n">
        <v>76000</v>
      </c>
      <c r="D40" s="4" t="n">
        <v>113000</v>
      </c>
      <c r="E40" s="12" t="n">
        <f aca="false">SUM(B40:D40)</f>
        <v>231000</v>
      </c>
    </row>
    <row r="41" customFormat="false" ht="15" hidden="false" customHeight="false" outlineLevel="0" collapsed="false">
      <c r="A41" s="0" t="s">
        <v>28</v>
      </c>
      <c r="B41" s="4" t="n">
        <v>100000</v>
      </c>
      <c r="C41" s="4" t="n">
        <v>250000</v>
      </c>
      <c r="D41" s="4" t="n">
        <v>500000</v>
      </c>
      <c r="E41" s="12" t="n">
        <f aca="false">SUM(B41:D41)</f>
        <v>850000</v>
      </c>
    </row>
    <row r="42" customFormat="false" ht="15" hidden="false" customHeight="false" outlineLevel="0" collapsed="false">
      <c r="A42" s="0" t="s">
        <v>35</v>
      </c>
      <c r="B42" s="4" t="n">
        <v>75000</v>
      </c>
      <c r="C42" s="4" t="n">
        <v>180000</v>
      </c>
      <c r="D42" s="4" t="n">
        <v>380000</v>
      </c>
      <c r="E42" s="12" t="n">
        <f aca="false">SUM(B42:D42)</f>
        <v>635000</v>
      </c>
    </row>
    <row r="43" customFormat="false" ht="15" hidden="false" customHeight="false" outlineLevel="0" collapsed="false">
      <c r="A43" s="0" t="s">
        <v>42</v>
      </c>
      <c r="B43" s="4" t="n">
        <v>100000</v>
      </c>
      <c r="C43" s="4" t="n">
        <v>200000</v>
      </c>
      <c r="D43" s="4" t="n">
        <v>350000</v>
      </c>
      <c r="E43" s="12" t="n">
        <f aca="false">SUM(B43:D43)</f>
        <v>650000</v>
      </c>
    </row>
    <row r="44" customFormat="false" ht="15" hidden="false" customHeight="false" outlineLevel="0" collapsed="false">
      <c r="A44" s="6" t="s">
        <v>74</v>
      </c>
      <c r="E44" s="12" t="n">
        <f aca="false">SUM(E39:E43)</f>
        <v>3286000</v>
      </c>
    </row>
    <row r="47" customFormat="false" ht="15" hidden="false" customHeight="false" outlineLevel="0" collapsed="false">
      <c r="A47" s="3" t="s">
        <v>81</v>
      </c>
      <c r="B47" s="13" t="s">
        <v>82</v>
      </c>
    </row>
    <row r="48" customFormat="false" ht="15" hidden="false" customHeight="false" outlineLevel="0" collapsed="false">
      <c r="A48" s="11" t="s">
        <v>72</v>
      </c>
      <c r="B48" s="11" t="s">
        <v>12</v>
      </c>
      <c r="C48" s="11" t="s">
        <v>15</v>
      </c>
      <c r="D48" s="11" t="s">
        <v>18</v>
      </c>
      <c r="E48" s="11" t="s">
        <v>73</v>
      </c>
    </row>
    <row r="49" customFormat="false" ht="15" hidden="false" customHeight="false" outlineLevel="0" collapsed="false">
      <c r="A49" s="0" t="s">
        <v>11</v>
      </c>
      <c r="B49" s="4" t="n">
        <v>120000</v>
      </c>
      <c r="C49" s="4" t="n">
        <v>280000</v>
      </c>
      <c r="D49" s="4" t="n">
        <v>520000</v>
      </c>
      <c r="E49" s="12" t="n">
        <f aca="false">SUM(B49:D49)</f>
        <v>920000</v>
      </c>
    </row>
    <row r="50" customFormat="false" ht="15" hidden="false" customHeight="false" outlineLevel="0" collapsed="false">
      <c r="A50" s="0" t="s">
        <v>21</v>
      </c>
      <c r="B50" s="4" t="n">
        <v>42000</v>
      </c>
      <c r="C50" s="4" t="n">
        <v>76000</v>
      </c>
      <c r="D50" s="4" t="n">
        <v>113000</v>
      </c>
      <c r="E50" s="12" t="n">
        <f aca="false">SUM(B50:D50)</f>
        <v>231000</v>
      </c>
    </row>
    <row r="51" customFormat="false" ht="15" hidden="false" customHeight="false" outlineLevel="0" collapsed="false">
      <c r="A51" s="0" t="s">
        <v>28</v>
      </c>
      <c r="B51" s="4" t="n">
        <v>100000</v>
      </c>
      <c r="C51" s="4" t="n">
        <v>250000</v>
      </c>
      <c r="D51" s="4" t="n">
        <v>500000</v>
      </c>
      <c r="E51" s="12" t="n">
        <f aca="false">SUM(B51:D51)</f>
        <v>850000</v>
      </c>
    </row>
    <row r="52" customFormat="false" ht="15" hidden="false" customHeight="false" outlineLevel="0" collapsed="false">
      <c r="A52" s="0" t="s">
        <v>35</v>
      </c>
      <c r="B52" s="4" t="n">
        <v>75000</v>
      </c>
      <c r="C52" s="4" t="n">
        <v>180000</v>
      </c>
      <c r="D52" s="4" t="n">
        <v>380000</v>
      </c>
      <c r="E52" s="12" t="n">
        <f aca="false">SUM(B52:D52)</f>
        <v>635000</v>
      </c>
    </row>
    <row r="53" customFormat="false" ht="15" hidden="false" customHeight="false" outlineLevel="0" collapsed="false">
      <c r="A53" s="0" t="s">
        <v>42</v>
      </c>
      <c r="B53" s="4" t="n">
        <v>100000</v>
      </c>
      <c r="C53" s="4" t="n">
        <v>200000</v>
      </c>
      <c r="D53" s="4" t="n">
        <v>350000</v>
      </c>
      <c r="E53" s="12" t="n">
        <f aca="false">SUM(B53:D53)</f>
        <v>650000</v>
      </c>
    </row>
    <row r="54" customFormat="false" ht="15" hidden="false" customHeight="false" outlineLevel="0" collapsed="false">
      <c r="A54" s="6" t="s">
        <v>74</v>
      </c>
      <c r="E54" s="12" t="n">
        <f aca="false">SUM(E49:E53)</f>
        <v>3286000</v>
      </c>
    </row>
    <row r="57" customFormat="false" ht="15" hidden="false" customHeight="false" outlineLevel="0" collapsed="false">
      <c r="A57" s="3" t="s">
        <v>83</v>
      </c>
      <c r="B57" s="13" t="s">
        <v>84</v>
      </c>
    </row>
    <row r="58" customFormat="false" ht="15" hidden="false" customHeight="false" outlineLevel="0" collapsed="false">
      <c r="A58" s="11" t="s">
        <v>72</v>
      </c>
      <c r="B58" s="11" t="s">
        <v>12</v>
      </c>
      <c r="C58" s="11" t="s">
        <v>15</v>
      </c>
      <c r="D58" s="11" t="s">
        <v>18</v>
      </c>
      <c r="E58" s="11" t="s">
        <v>73</v>
      </c>
    </row>
    <row r="59" customFormat="false" ht="15" hidden="false" customHeight="false" outlineLevel="0" collapsed="false">
      <c r="A59" s="0" t="s">
        <v>11</v>
      </c>
      <c r="B59" s="4" t="n">
        <v>120000</v>
      </c>
      <c r="C59" s="4" t="n">
        <v>280000</v>
      </c>
      <c r="D59" s="4" t="n">
        <v>520000</v>
      </c>
      <c r="E59" s="12" t="n">
        <f aca="false">SUM(B59:D59)</f>
        <v>920000</v>
      </c>
    </row>
    <row r="60" customFormat="false" ht="15" hidden="false" customHeight="false" outlineLevel="0" collapsed="false">
      <c r="A60" s="0" t="s">
        <v>21</v>
      </c>
      <c r="B60" s="4" t="n">
        <v>42000</v>
      </c>
      <c r="C60" s="4" t="n">
        <v>76000</v>
      </c>
      <c r="D60" s="4" t="n">
        <v>113000</v>
      </c>
      <c r="E60" s="12" t="n">
        <f aca="false">SUM(B60:D60)</f>
        <v>231000</v>
      </c>
    </row>
    <row r="61" customFormat="false" ht="15" hidden="false" customHeight="false" outlineLevel="0" collapsed="false">
      <c r="A61" s="0" t="s">
        <v>28</v>
      </c>
      <c r="B61" s="4" t="n">
        <v>100000</v>
      </c>
      <c r="C61" s="4" t="n">
        <v>250000</v>
      </c>
      <c r="D61" s="4" t="n">
        <v>500000</v>
      </c>
      <c r="E61" s="12" t="n">
        <f aca="false">SUM(B61:D61)</f>
        <v>850000</v>
      </c>
    </row>
    <row r="62" customFormat="false" ht="15" hidden="false" customHeight="false" outlineLevel="0" collapsed="false">
      <c r="A62" s="0" t="s">
        <v>35</v>
      </c>
      <c r="B62" s="4" t="n">
        <v>75000</v>
      </c>
      <c r="C62" s="4" t="n">
        <v>180000</v>
      </c>
      <c r="D62" s="4" t="n">
        <v>380000</v>
      </c>
      <c r="E62" s="12" t="n">
        <f aca="false">SUM(B62:D62)</f>
        <v>635000</v>
      </c>
    </row>
    <row r="63" customFormat="false" ht="15" hidden="false" customHeight="false" outlineLevel="0" collapsed="false">
      <c r="A63" s="0" t="s">
        <v>42</v>
      </c>
      <c r="B63" s="4" t="n">
        <v>100000</v>
      </c>
      <c r="C63" s="4" t="n">
        <v>200000</v>
      </c>
      <c r="D63" s="4" t="n">
        <v>350000</v>
      </c>
      <c r="E63" s="12" t="n">
        <f aca="false">SUM(B63:D63)</f>
        <v>650000</v>
      </c>
    </row>
    <row r="64" customFormat="false" ht="15" hidden="false" customHeight="false" outlineLevel="0" collapsed="false">
      <c r="A64" s="6" t="s">
        <v>74</v>
      </c>
      <c r="E64" s="12" t="n">
        <f aca="false">SUM(E59:E63)</f>
        <v>3286000</v>
      </c>
    </row>
    <row r="67" customFormat="false" ht="15" hidden="false" customHeight="false" outlineLevel="0" collapsed="false">
      <c r="A67" s="3" t="s">
        <v>85</v>
      </c>
      <c r="B67" s="13" t="s">
        <v>86</v>
      </c>
    </row>
    <row r="68" customFormat="false" ht="15" hidden="false" customHeight="false" outlineLevel="0" collapsed="false">
      <c r="A68" s="11" t="s">
        <v>72</v>
      </c>
      <c r="B68" s="11" t="s">
        <v>12</v>
      </c>
      <c r="C68" s="11" t="s">
        <v>15</v>
      </c>
      <c r="D68" s="11" t="s">
        <v>18</v>
      </c>
      <c r="E68" s="11" t="s">
        <v>73</v>
      </c>
    </row>
    <row r="69" customFormat="false" ht="15" hidden="false" customHeight="false" outlineLevel="0" collapsed="false">
      <c r="A69" s="0" t="s">
        <v>11</v>
      </c>
      <c r="B69" s="4" t="n">
        <v>120000</v>
      </c>
      <c r="C69" s="4" t="n">
        <v>280000</v>
      </c>
      <c r="D69" s="4" t="n">
        <v>520000</v>
      </c>
      <c r="E69" s="12" t="n">
        <f aca="false">SUM(B69:D69)</f>
        <v>920000</v>
      </c>
    </row>
    <row r="70" customFormat="false" ht="15" hidden="false" customHeight="false" outlineLevel="0" collapsed="false">
      <c r="A70" s="0" t="s">
        <v>21</v>
      </c>
      <c r="B70" s="4" t="n">
        <v>42000</v>
      </c>
      <c r="C70" s="4" t="n">
        <v>76000</v>
      </c>
      <c r="D70" s="4" t="n">
        <v>113000</v>
      </c>
      <c r="E70" s="12" t="n">
        <f aca="false">SUM(B70:D70)</f>
        <v>231000</v>
      </c>
    </row>
    <row r="71" customFormat="false" ht="15" hidden="false" customHeight="false" outlineLevel="0" collapsed="false">
      <c r="A71" s="0" t="s">
        <v>28</v>
      </c>
      <c r="B71" s="4" t="n">
        <v>100000</v>
      </c>
      <c r="C71" s="4" t="n">
        <v>250000</v>
      </c>
      <c r="D71" s="4" t="n">
        <v>500000</v>
      </c>
      <c r="E71" s="12" t="n">
        <f aca="false">SUM(B71:D71)</f>
        <v>850000</v>
      </c>
    </row>
    <row r="72" customFormat="false" ht="15" hidden="false" customHeight="false" outlineLevel="0" collapsed="false">
      <c r="A72" s="0" t="s">
        <v>35</v>
      </c>
      <c r="B72" s="4" t="n">
        <v>75000</v>
      </c>
      <c r="C72" s="4" t="n">
        <v>180000</v>
      </c>
      <c r="D72" s="4" t="n">
        <v>380000</v>
      </c>
      <c r="E72" s="12" t="n">
        <f aca="false">SUM(B72:D72)</f>
        <v>635000</v>
      </c>
    </row>
    <row r="73" customFormat="false" ht="15" hidden="false" customHeight="false" outlineLevel="0" collapsed="false">
      <c r="A73" s="0" t="s">
        <v>42</v>
      </c>
      <c r="B73" s="4" t="n">
        <v>100000</v>
      </c>
      <c r="C73" s="4" t="n">
        <v>200000</v>
      </c>
      <c r="D73" s="4" t="n">
        <v>350000</v>
      </c>
      <c r="E73" s="12" t="n">
        <f aca="false">SUM(B73:D73)</f>
        <v>650000</v>
      </c>
    </row>
    <row r="74" customFormat="false" ht="15" hidden="false" customHeight="false" outlineLevel="0" collapsed="false">
      <c r="A74" s="6" t="s">
        <v>74</v>
      </c>
      <c r="E74" s="12" t="n">
        <f aca="false">SUM(E69:E73)</f>
        <v>3286000</v>
      </c>
    </row>
    <row r="77" customFormat="false" ht="15" hidden="false" customHeight="false" outlineLevel="0" collapsed="false">
      <c r="A77" s="3" t="s">
        <v>87</v>
      </c>
      <c r="B77" s="13" t="s">
        <v>88</v>
      </c>
    </row>
    <row r="78" customFormat="false" ht="15" hidden="false" customHeight="false" outlineLevel="0" collapsed="false">
      <c r="A78" s="11" t="s">
        <v>72</v>
      </c>
      <c r="B78" s="11" t="s">
        <v>12</v>
      </c>
      <c r="C78" s="11" t="s">
        <v>15</v>
      </c>
      <c r="D78" s="11" t="s">
        <v>18</v>
      </c>
      <c r="E78" s="11" t="s">
        <v>73</v>
      </c>
    </row>
    <row r="79" customFormat="false" ht="15" hidden="false" customHeight="false" outlineLevel="0" collapsed="false">
      <c r="A79" s="0" t="s">
        <v>11</v>
      </c>
      <c r="B79" s="4" t="n">
        <v>120000</v>
      </c>
      <c r="C79" s="4" t="n">
        <v>280000</v>
      </c>
      <c r="D79" s="4" t="n">
        <v>520000</v>
      </c>
      <c r="E79" s="12" t="n">
        <f aca="false">SUM(B79:D79)</f>
        <v>920000</v>
      </c>
    </row>
    <row r="80" customFormat="false" ht="15" hidden="false" customHeight="false" outlineLevel="0" collapsed="false">
      <c r="A80" s="0" t="s">
        <v>21</v>
      </c>
      <c r="B80" s="4" t="n">
        <v>42000</v>
      </c>
      <c r="C80" s="4" t="n">
        <v>76000</v>
      </c>
      <c r="D80" s="4" t="n">
        <v>113000</v>
      </c>
      <c r="E80" s="12" t="n">
        <f aca="false">SUM(B80:D80)</f>
        <v>231000</v>
      </c>
    </row>
    <row r="81" customFormat="false" ht="15" hidden="false" customHeight="false" outlineLevel="0" collapsed="false">
      <c r="A81" s="0" t="s">
        <v>28</v>
      </c>
      <c r="B81" s="4" t="n">
        <v>100000</v>
      </c>
      <c r="C81" s="4" t="n">
        <v>250000</v>
      </c>
      <c r="D81" s="4" t="n">
        <v>500000</v>
      </c>
      <c r="E81" s="12" t="n">
        <f aca="false">SUM(B81:D81)</f>
        <v>850000</v>
      </c>
    </row>
    <row r="82" customFormat="false" ht="15" hidden="false" customHeight="false" outlineLevel="0" collapsed="false">
      <c r="A82" s="0" t="s">
        <v>35</v>
      </c>
      <c r="B82" s="4" t="n">
        <v>75000</v>
      </c>
      <c r="C82" s="4" t="n">
        <v>180000</v>
      </c>
      <c r="D82" s="4" t="n">
        <v>380000</v>
      </c>
      <c r="E82" s="12" t="n">
        <f aca="false">SUM(B82:D82)</f>
        <v>635000</v>
      </c>
    </row>
    <row r="83" customFormat="false" ht="15" hidden="false" customHeight="false" outlineLevel="0" collapsed="false">
      <c r="A83" s="0" t="s">
        <v>42</v>
      </c>
      <c r="B83" s="4" t="n">
        <v>100000</v>
      </c>
      <c r="C83" s="4" t="n">
        <v>200000</v>
      </c>
      <c r="D83" s="4" t="n">
        <v>350000</v>
      </c>
      <c r="E83" s="12" t="n">
        <f aca="false">SUM(B83:D83)</f>
        <v>650000</v>
      </c>
    </row>
    <row r="84" customFormat="false" ht="15" hidden="false" customHeight="false" outlineLevel="0" collapsed="false">
      <c r="A84" s="6" t="s">
        <v>74</v>
      </c>
      <c r="E84" s="12" t="n">
        <f aca="false">SUM(E79:E83)</f>
        <v>3286000</v>
      </c>
    </row>
    <row r="87" customFormat="false" ht="15" hidden="false" customHeight="false" outlineLevel="0" collapsed="false">
      <c r="A87" s="3" t="s">
        <v>89</v>
      </c>
      <c r="B87" s="13" t="s">
        <v>90</v>
      </c>
    </row>
    <row r="88" customFormat="false" ht="15" hidden="false" customHeight="false" outlineLevel="0" collapsed="false">
      <c r="A88" s="11" t="s">
        <v>72</v>
      </c>
      <c r="B88" s="11" t="s">
        <v>12</v>
      </c>
      <c r="C88" s="11" t="s">
        <v>15</v>
      </c>
      <c r="D88" s="11" t="s">
        <v>18</v>
      </c>
      <c r="E88" s="11" t="s">
        <v>73</v>
      </c>
    </row>
    <row r="89" customFormat="false" ht="15" hidden="false" customHeight="false" outlineLevel="0" collapsed="false">
      <c r="A89" s="0" t="s">
        <v>11</v>
      </c>
      <c r="B89" s="4" t="n">
        <v>120000</v>
      </c>
      <c r="C89" s="4" t="n">
        <v>280000</v>
      </c>
      <c r="D89" s="4" t="n">
        <v>520000</v>
      </c>
      <c r="E89" s="12" t="n">
        <f aca="false">SUM(B89:D89)</f>
        <v>920000</v>
      </c>
    </row>
    <row r="90" customFormat="false" ht="15" hidden="false" customHeight="false" outlineLevel="0" collapsed="false">
      <c r="A90" s="0" t="s">
        <v>21</v>
      </c>
      <c r="B90" s="4" t="n">
        <v>42000</v>
      </c>
      <c r="C90" s="4" t="n">
        <v>76000</v>
      </c>
      <c r="D90" s="4" t="n">
        <v>113000</v>
      </c>
      <c r="E90" s="12" t="n">
        <f aca="false">SUM(B90:D90)</f>
        <v>231000</v>
      </c>
    </row>
    <row r="91" customFormat="false" ht="15" hidden="false" customHeight="false" outlineLevel="0" collapsed="false">
      <c r="A91" s="0" t="s">
        <v>28</v>
      </c>
      <c r="B91" s="4" t="n">
        <v>100000</v>
      </c>
      <c r="C91" s="4" t="n">
        <v>250000</v>
      </c>
      <c r="D91" s="4" t="n">
        <v>500000</v>
      </c>
      <c r="E91" s="12" t="n">
        <f aca="false">SUM(B91:D91)</f>
        <v>850000</v>
      </c>
    </row>
    <row r="92" customFormat="false" ht="15" hidden="false" customHeight="false" outlineLevel="0" collapsed="false">
      <c r="A92" s="0" t="s">
        <v>35</v>
      </c>
      <c r="B92" s="4" t="n">
        <v>75000</v>
      </c>
      <c r="C92" s="4" t="n">
        <v>180000</v>
      </c>
      <c r="D92" s="4" t="n">
        <v>380000</v>
      </c>
      <c r="E92" s="12" t="n">
        <f aca="false">SUM(B92:D92)</f>
        <v>635000</v>
      </c>
    </row>
    <row r="93" customFormat="false" ht="15" hidden="false" customHeight="false" outlineLevel="0" collapsed="false">
      <c r="A93" s="0" t="s">
        <v>42</v>
      </c>
      <c r="B93" s="4" t="n">
        <v>100000</v>
      </c>
      <c r="C93" s="4" t="n">
        <v>200000</v>
      </c>
      <c r="D93" s="4" t="n">
        <v>350000</v>
      </c>
      <c r="E93" s="12" t="n">
        <f aca="false">SUM(B93:D93)</f>
        <v>650000</v>
      </c>
    </row>
    <row r="94" customFormat="false" ht="15" hidden="false" customHeight="false" outlineLevel="0" collapsed="false">
      <c r="A94" s="6" t="s">
        <v>74</v>
      </c>
      <c r="E94" s="12" t="n">
        <f aca="false">SUM(E89:E93)</f>
        <v>3286000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1" t="s">
        <v>91</v>
      </c>
    </row>
    <row r="3" customFormat="false" ht="15" hidden="false" customHeight="false" outlineLevel="0" collapsed="false">
      <c r="A3" s="0" t="s">
        <v>92</v>
      </c>
    </row>
    <row r="5" customFormat="false" ht="15" hidden="false" customHeight="false" outlineLevel="0" collapsed="false">
      <c r="A5" s="6" t="s">
        <v>93</v>
      </c>
    </row>
    <row r="6" customFormat="false" ht="15" hidden="false" customHeight="false" outlineLevel="0" collapsed="false">
      <c r="A6" s="0" t="s">
        <v>94</v>
      </c>
    </row>
    <row r="7" customFormat="false" ht="15" hidden="false" customHeight="false" outlineLevel="0" collapsed="false">
      <c r="A7" s="0" t="s">
        <v>95</v>
      </c>
    </row>
    <row r="8" customFormat="false" ht="15" hidden="false" customHeight="false" outlineLevel="0" collapsed="false">
      <c r="A8" s="0" t="s">
        <v>96</v>
      </c>
    </row>
    <row r="9" customFormat="false" ht="15" hidden="false" customHeight="false" outlineLevel="0" collapsed="false">
      <c r="A9" s="0" t="s">
        <v>97</v>
      </c>
    </row>
    <row r="11" customFormat="false" ht="15" hidden="false" customHeight="false" outlineLevel="0" collapsed="false">
      <c r="A11" s="6" t="s">
        <v>98</v>
      </c>
    </row>
    <row r="12" customFormat="false" ht="15" hidden="false" customHeight="false" outlineLevel="0" collapsed="false">
      <c r="A12" s="0" t="s">
        <v>99</v>
      </c>
    </row>
    <row r="13" customFormat="false" ht="15" hidden="false" customHeight="false" outlineLevel="0" collapsed="false">
      <c r="A13" s="6" t="s">
        <v>100</v>
      </c>
    </row>
    <row r="14" customFormat="false" ht="15" hidden="false" customHeight="false" outlineLevel="0" collapsed="false">
      <c r="A14" s="6" t="s">
        <v>101</v>
      </c>
    </row>
    <row r="15" customFormat="false" ht="15" hidden="false" customHeight="false" outlineLevel="0" collapsed="false">
      <c r="A15" s="6" t="s">
        <v>102</v>
      </c>
    </row>
    <row r="17" customFormat="false" ht="15" hidden="false" customHeight="false" outlineLevel="0" collapsed="false">
      <c r="A17" s="6" t="s">
        <v>103</v>
      </c>
    </row>
    <row r="18" customFormat="false" ht="15" hidden="false" customHeight="false" outlineLevel="0" collapsed="false">
      <c r="A18" s="0" t="s">
        <v>104</v>
      </c>
    </row>
    <row r="19" customFormat="false" ht="15" hidden="false" customHeight="false" outlineLevel="0" collapsed="false">
      <c r="A19" s="0" t="s">
        <v>105</v>
      </c>
    </row>
    <row r="20" customFormat="false" ht="15" hidden="false" customHeight="false" outlineLevel="0" collapsed="false">
      <c r="A20" s="0" t="s">
        <v>106</v>
      </c>
    </row>
    <row r="21" customFormat="false" ht="15" hidden="false" customHeight="false" outlineLevel="0" collapsed="false">
      <c r="A21" s="0" t="s">
        <v>107</v>
      </c>
    </row>
    <row r="23" customFormat="false" ht="15" hidden="false" customHeight="false" outlineLevel="0" collapsed="false">
      <c r="A23" s="6" t="s">
        <v>108</v>
      </c>
    </row>
    <row r="24" customFormat="false" ht="15" hidden="false" customHeight="false" outlineLevel="0" collapsed="false">
      <c r="A24" s="0" t="s">
        <v>109</v>
      </c>
    </row>
    <row r="25" customFormat="false" ht="15" hidden="false" customHeight="false" outlineLevel="0" collapsed="false">
      <c r="A25" s="0" t="s">
        <v>110</v>
      </c>
    </row>
    <row r="26" customFormat="false" ht="15" hidden="false" customHeight="false" outlineLevel="0" collapsed="false">
      <c r="A26" s="0" t="s">
        <v>111</v>
      </c>
    </row>
    <row r="27" customFormat="false" ht="15" hidden="false" customHeight="false" outlineLevel="0" collapsed="false">
      <c r="A27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4" t="s">
        <v>114</v>
      </c>
    </row>
    <row r="4" customFormat="false" ht="15" hidden="false" customHeight="false" outlineLevel="0" collapsed="false">
      <c r="A4" s="14" t="s">
        <v>115</v>
      </c>
    </row>
    <row r="5" customFormat="false" ht="15" hidden="false" customHeight="false" outlineLevel="0" collapsed="false">
      <c r="A5" s="0" t="s">
        <v>116</v>
      </c>
    </row>
    <row r="6" customFormat="false" ht="15" hidden="false" customHeight="false" outlineLevel="0" collapsed="false">
      <c r="A6" s="0" t="s">
        <v>117</v>
      </c>
    </row>
    <row r="8" customFormat="false" ht="15" hidden="false" customHeight="false" outlineLevel="0" collapsed="false">
      <c r="A8" s="14" t="s">
        <v>118</v>
      </c>
    </row>
    <row r="9" customFormat="false" ht="15" hidden="false" customHeight="false" outlineLevel="0" collapsed="false">
      <c r="A9" s="14" t="s">
        <v>119</v>
      </c>
    </row>
    <row r="10" customFormat="false" ht="15" hidden="false" customHeight="false" outlineLevel="0" collapsed="false">
      <c r="A10" s="0" t="s">
        <v>120</v>
      </c>
    </row>
    <row r="11" customFormat="false" ht="15" hidden="false" customHeight="false" outlineLevel="0" collapsed="false">
      <c r="A11" s="0" t="s">
        <v>121</v>
      </c>
    </row>
    <row r="12" customFormat="false" ht="15" hidden="false" customHeight="false" outlineLevel="0" collapsed="false">
      <c r="A12" s="0" t="s">
        <v>122</v>
      </c>
    </row>
    <row r="14" customFormat="false" ht="15" hidden="false" customHeight="false" outlineLevel="0" collapsed="false">
      <c r="A14" s="14" t="s">
        <v>123</v>
      </c>
    </row>
    <row r="15" customFormat="false" ht="15" hidden="false" customHeight="false" outlineLevel="0" collapsed="false">
      <c r="A15" s="14" t="s">
        <v>124</v>
      </c>
    </row>
    <row r="16" customFormat="false" ht="15" hidden="false" customHeight="false" outlineLevel="0" collapsed="false">
      <c r="A16" s="0" t="s">
        <v>125</v>
      </c>
    </row>
    <row r="17" customFormat="false" ht="15" hidden="false" customHeight="false" outlineLevel="0" collapsed="false">
      <c r="A17" s="0" t="s">
        <v>126</v>
      </c>
    </row>
    <row r="18" customFormat="false" ht="15" hidden="false" customHeight="false" outlineLevel="0" collapsed="false">
      <c r="A18" s="0" t="s">
        <v>127</v>
      </c>
    </row>
    <row r="20" customFormat="false" ht="15" hidden="false" customHeight="false" outlineLevel="0" collapsed="false">
      <c r="A20" s="14" t="s">
        <v>128</v>
      </c>
    </row>
    <row r="21" customFormat="false" ht="15" hidden="false" customHeight="false" outlineLevel="0" collapsed="false">
      <c r="A21" s="14" t="s">
        <v>129</v>
      </c>
    </row>
    <row r="22" customFormat="false" ht="15" hidden="false" customHeight="false" outlineLevel="0" collapsed="false">
      <c r="A22" s="0" t="s">
        <v>130</v>
      </c>
    </row>
    <row r="23" customFormat="false" ht="15" hidden="false" customHeight="false" outlineLevel="0" collapsed="false">
      <c r="A23" s="0" t="s">
        <v>131</v>
      </c>
    </row>
    <row r="24" customFormat="false" ht="15" hidden="false" customHeight="false" outlineLevel="0" collapsed="false">
      <c r="A2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2026-03-24T21:57:19Z</dcterms:created>
  <dc:creator>openpyxl</dc:creator>
  <dc:description/>
  <dc:language>en-US</dc:language>
  <cp:lastModifiedBy/>
  <dcterms:modified xsi:type="dcterms:W3CDTF">2026-03-24T21:57:41Z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