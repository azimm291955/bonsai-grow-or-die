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Upgrade Analysis" sheetId="1" state="visible" r:id="rId1"/>
    <sheet xmlns:r="http://schemas.openxmlformats.org/officeDocument/2006/relationships" name="Room Upgrade Matrix" sheetId="2" state="visible" r:id="rId2"/>
    <sheet xmlns:r="http://schemas.openxmlformats.org/officeDocument/2006/relationships" name="Balance Summary" sheetId="3" state="visible" r:id="rId3"/>
    <sheet xmlns:r="http://schemas.openxmlformats.org/officeDocument/2006/relationships" name="Detailed Breakdown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"/>
    <numFmt numFmtId="166" formatCode="$#,##0"/>
    <numFmt numFmtId="167" formatCode="0.0x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2"/>
    </font>
    <font>
      <name val="Cambria"/>
      <charset val="1"/>
      <family val="0"/>
      <b val="1"/>
      <sz val="11"/>
    </font>
    <font>
      <name val="Cambria"/>
      <charset val="1"/>
      <family val="0"/>
      <color rgb="FF0000FF"/>
      <sz val="11"/>
    </font>
    <font>
      <b val="1"/>
      <sz val="12"/>
    </font>
    <font>
      <b val="1"/>
      <sz val="11"/>
    </font>
    <font>
      <b val="1"/>
    </font>
    <font>
      <color rgb="00FF0000"/>
    </font>
    <font>
      <b val="1"/>
      <sz val="14"/>
    </font>
    <font>
      <color rgb="000000FF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66" fontId="0" fillId="0" borderId="0" pivotButton="0" quotePrefix="0" xfId="0"/>
    <xf numFmtId="166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3" borderId="0" pivotButton="0" quotePrefix="0" xfId="0"/>
    <xf numFmtId="167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6" customWidth="1" style="8" min="1" max="1"/>
    <col width="6" customWidth="1" style="8" min="2" max="2"/>
    <col width="22" customWidth="1" style="8" min="3" max="3"/>
    <col width="13" customWidth="1" style="8" min="4" max="4"/>
    <col width="16" customWidth="1" style="8" min="5" max="5"/>
    <col width="13" customWidth="1" style="8" min="6" max="6"/>
    <col width="10" customWidth="1" style="8" min="7" max="7"/>
    <col width="13" customWidth="1" style="8" min="8" max="8"/>
    <col width="45" customWidth="1" style="8" min="9" max="9"/>
  </cols>
  <sheetData>
    <row r="1" ht="17.35" customHeight="1" s="9">
      <c r="A1" s="10" t="inlineStr">
        <is>
          <t>BONSAI UPGRADE ANALYSIS</t>
        </is>
      </c>
    </row>
    <row r="3" ht="15" customHeight="1" s="9">
      <c r="A3" s="11" t="inlineStr">
        <is>
          <t>Track</t>
        </is>
      </c>
      <c r="B3" s="11" t="inlineStr">
        <is>
          <t>Tier</t>
        </is>
      </c>
      <c r="C3" s="11" t="inlineStr">
        <is>
          <t>Name</t>
        </is>
      </c>
      <c r="D3" s="11" t="inlineStr">
        <is>
          <t>Cost</t>
        </is>
      </c>
      <c r="E3" s="11" t="inlineStr">
        <is>
          <t>Est. Monthly Benefit</t>
        </is>
      </c>
      <c r="F3" s="11" t="inlineStr">
        <is>
          <t>Annual Benefit</t>
        </is>
      </c>
      <c r="G3" s="11" t="inlineStr">
        <is>
          <t>ROI %</t>
        </is>
      </c>
      <c r="H3" s="11" t="inlineStr">
        <is>
          <t>Payback (mo)</t>
        </is>
      </c>
      <c r="I3" s="11" t="inlineStr">
        <is>
          <t>Notes</t>
        </is>
      </c>
    </row>
    <row r="4" ht="15" customHeight="1" s="9">
      <c r="A4" s="8" t="inlineStr">
        <is>
          <t>Lighting</t>
        </is>
      </c>
      <c r="B4" s="8" t="inlineStr">
        <is>
          <t>T1</t>
        </is>
      </c>
      <c r="C4" s="8" t="inlineStr">
        <is>
          <t>HPS Upgrade</t>
        </is>
      </c>
      <c r="D4" s="12" t="n">
        <v>120000</v>
      </c>
      <c r="E4" s="12" t="n">
        <v>11540</v>
      </c>
      <c r="F4" s="12">
        <f>E4*12</f>
        <v/>
      </c>
      <c r="G4" s="13">
        <f>F4/D4*100</f>
        <v/>
      </c>
      <c r="H4" s="13">
        <f>IF(E4&gt;0,D4/E4,999)</f>
        <v/>
      </c>
      <c r="I4" s="8" t="inlineStr">
        <is>
          <t>Electricity: -15%, Yield: +8%</t>
        </is>
      </c>
    </row>
    <row r="5" ht="15" customHeight="1" s="9">
      <c r="A5" s="8" t="inlineStr">
        <is>
          <t>Lighting</t>
        </is>
      </c>
      <c r="B5" s="8" t="inlineStr">
        <is>
          <t>T2</t>
        </is>
      </c>
      <c r="C5" s="8" t="inlineStr">
        <is>
          <t>LED Hybrid</t>
        </is>
      </c>
      <c r="D5" s="12" t="n">
        <v>280000</v>
      </c>
      <c r="E5" s="12" t="n">
        <v>25620</v>
      </c>
      <c r="F5" s="12">
        <f>E5*12</f>
        <v/>
      </c>
      <c r="G5" s="13">
        <f>F5/D5*100</f>
        <v/>
      </c>
      <c r="H5" s="13">
        <f>IF(E5&gt;0,D5/E5,999)</f>
        <v/>
      </c>
      <c r="I5" s="8" t="inlineStr">
        <is>
          <t>Electricity: -28%, Yield: +18%</t>
        </is>
      </c>
    </row>
    <row r="6" ht="15" customHeight="1" s="9">
      <c r="A6" s="8" t="inlineStr">
        <is>
          <t>Lighting</t>
        </is>
      </c>
      <c r="B6" s="8" t="inlineStr">
        <is>
          <t>T3</t>
        </is>
      </c>
      <c r="C6" s="8" t="inlineStr">
        <is>
          <t>Fluence/Fohse</t>
        </is>
      </c>
      <c r="D6" s="12" t="n">
        <v>520000</v>
      </c>
      <c r="E6" s="12" t="n">
        <v>42300</v>
      </c>
      <c r="F6" s="12">
        <f>E6*12</f>
        <v/>
      </c>
      <c r="G6" s="13">
        <f>F6/D6*100</f>
        <v/>
      </c>
      <c r="H6" s="13">
        <f>IF(E6&gt;0,D6/E6,999)</f>
        <v/>
      </c>
      <c r="I6" s="8" t="inlineStr">
        <is>
          <t>Electricity: -40%, Yield: +30%</t>
        </is>
      </c>
    </row>
    <row r="7" ht="15" customHeight="1" s="9">
      <c r="A7" s="8" t="inlineStr">
        <is>
          <t>Irrigation</t>
        </is>
      </c>
      <c r="B7" s="8" t="inlineStr">
        <is>
          <t>T1</t>
        </is>
      </c>
      <c r="C7" s="8" t="inlineStr">
        <is>
          <t>Manual Optimization</t>
        </is>
      </c>
      <c r="D7" s="12" t="n">
        <v>80000</v>
      </c>
      <c r="E7" s="12" t="n">
        <v>640</v>
      </c>
      <c r="F7" s="12">
        <f>E7*12</f>
        <v/>
      </c>
      <c r="G7" s="13">
        <f>F7/D7*100</f>
        <v/>
      </c>
      <c r="H7" s="13">
        <f>IF(E7&gt;0,D7/E7,999)</f>
        <v/>
      </c>
      <c r="I7" s="8" t="inlineStr">
        <is>
          <t>Labor: -8%</t>
        </is>
      </c>
    </row>
    <row r="8" ht="15" customHeight="1" s="9">
      <c r="A8" s="8" t="inlineStr">
        <is>
          <t>Irrigation</t>
        </is>
      </c>
      <c r="B8" s="8" t="inlineStr">
        <is>
          <t>T2</t>
        </is>
      </c>
      <c r="C8" s="8" t="inlineStr">
        <is>
          <t>Semi-Automated</t>
        </is>
      </c>
      <c r="D8" s="12" t="n">
        <v>200000</v>
      </c>
      <c r="E8" s="12" t="n">
        <v>1280</v>
      </c>
      <c r="F8" s="12">
        <f>E8*12</f>
        <v/>
      </c>
      <c r="G8" s="13">
        <f>F8/D8*100</f>
        <v/>
      </c>
      <c r="H8" s="13">
        <f>IF(E8&gt;0,D8/E8,999)</f>
        <v/>
      </c>
      <c r="I8" s="8" t="inlineStr">
        <is>
          <t>Labor: -16%</t>
        </is>
      </c>
    </row>
    <row r="9" ht="15" customHeight="1" s="9">
      <c r="A9" s="8" t="inlineStr">
        <is>
          <t>Irrigation</t>
        </is>
      </c>
      <c r="B9" s="8" t="inlineStr">
        <is>
          <t>T3</t>
        </is>
      </c>
      <c r="C9" s="8" t="inlineStr">
        <is>
          <t>Full Automation</t>
        </is>
      </c>
      <c r="D9" s="12" t="n">
        <v>420000</v>
      </c>
      <c r="E9" s="12" t="n">
        <v>2000</v>
      </c>
      <c r="F9" s="12">
        <f>E9*12</f>
        <v/>
      </c>
      <c r="G9" s="13">
        <f>F9/D9*100</f>
        <v/>
      </c>
      <c r="H9" s="13">
        <f>IF(E9&gt;0,D9/E9,999)</f>
        <v/>
      </c>
      <c r="I9" s="8" t="inlineStr">
        <is>
          <t>Labor: -25%</t>
        </is>
      </c>
    </row>
    <row r="10" ht="15" customHeight="1" s="9">
      <c r="A10" s="8" t="inlineStr">
        <is>
          <t>Environmental</t>
        </is>
      </c>
      <c r="B10" s="8" t="inlineStr">
        <is>
          <t>T1</t>
        </is>
      </c>
      <c r="C10" s="8" t="inlineStr">
        <is>
          <t>Basic HVAC</t>
        </is>
      </c>
      <c r="D10" s="12" t="n">
        <v>90000</v>
      </c>
      <c r="E10" s="12" t="n">
        <v>160</v>
      </c>
      <c r="F10" s="12">
        <f>E10*12</f>
        <v/>
      </c>
      <c r="G10" s="13">
        <f>F10/D10*100</f>
        <v/>
      </c>
      <c r="H10" s="13">
        <f>IF(E10&gt;0,D10/E10,999)</f>
        <v/>
      </c>
      <c r="I10" s="8" t="inlineStr">
        <is>
          <t>Nutrient: -8%, CO2: -10%</t>
        </is>
      </c>
    </row>
    <row r="11" ht="15" customHeight="1" s="9">
      <c r="A11" s="8" t="inlineStr">
        <is>
          <t>Environmental</t>
        </is>
      </c>
      <c r="B11" s="8" t="inlineStr">
        <is>
          <t>T2</t>
        </is>
      </c>
      <c r="C11" s="8" t="inlineStr">
        <is>
          <t>Climate Monitor</t>
        </is>
      </c>
      <c r="D11" s="12" t="n">
        <v>220000</v>
      </c>
      <c r="E11" s="12" t="n">
        <v>240</v>
      </c>
      <c r="F11" s="12">
        <f>E11*12</f>
        <v/>
      </c>
      <c r="G11" s="13">
        <f>F11/D11*100</f>
        <v/>
      </c>
      <c r="H11" s="13">
        <f>IF(E11&gt;0,D11/E11,999)</f>
        <v/>
      </c>
      <c r="I11" s="8" t="inlineStr">
        <is>
          <t>Nutrient: -12%, CO2: -15%</t>
        </is>
      </c>
    </row>
    <row r="12" ht="15" customHeight="1" s="9">
      <c r="A12" s="8" t="inlineStr">
        <is>
          <t>Environmental</t>
        </is>
      </c>
      <c r="B12" s="8" t="inlineStr">
        <is>
          <t>T3</t>
        </is>
      </c>
      <c r="C12" s="8" t="inlineStr">
        <is>
          <t>Argus Control</t>
        </is>
      </c>
      <c r="D12" s="12" t="n">
        <v>460000</v>
      </c>
      <c r="E12" s="12" t="n">
        <v>300</v>
      </c>
      <c r="F12" s="12">
        <f>E12*12</f>
        <v/>
      </c>
      <c r="G12" s="13">
        <f>F12/D12*100</f>
        <v/>
      </c>
      <c r="H12" s="13">
        <f>IF(E12&gt;0,D12/E12,999)</f>
        <v/>
      </c>
      <c r="I12" s="8" t="inlineStr">
        <is>
          <t>Nutrient: -15%, CO2: -20%</t>
        </is>
      </c>
    </row>
    <row r="13" ht="15" customHeight="1" s="9">
      <c r="A13" s="8" t="inlineStr">
        <is>
          <t>Genetics</t>
        </is>
      </c>
      <c r="B13" s="8" t="inlineStr">
        <is>
          <t>T1</t>
        </is>
      </c>
      <c r="C13" s="8" t="inlineStr">
        <is>
          <t>Proven Strains</t>
        </is>
      </c>
      <c r="D13" s="12" t="n">
        <v>100000</v>
      </c>
      <c r="E13" s="12" t="n">
        <v>19950</v>
      </c>
      <c r="F13" s="12">
        <f>E13*12</f>
        <v/>
      </c>
      <c r="G13" s="13">
        <f>F13/D13*100</f>
        <v/>
      </c>
      <c r="H13" s="13">
        <f>IF(E13&gt;0,D13/E13,999)</f>
        <v/>
      </c>
      <c r="I13" s="8" t="inlineStr">
        <is>
          <t>Yield: +10%, Price: +5%</t>
        </is>
      </c>
    </row>
    <row r="14" ht="15" customHeight="1" s="9">
      <c r="A14" s="8" t="inlineStr">
        <is>
          <t>Genetics</t>
        </is>
      </c>
      <c r="B14" s="8" t="inlineStr">
        <is>
          <t>T2</t>
        </is>
      </c>
      <c r="C14" s="8" t="inlineStr">
        <is>
          <t>Premium Genetics</t>
        </is>
      </c>
      <c r="D14" s="12" t="n">
        <v>250000</v>
      </c>
      <c r="E14" s="12" t="n">
        <v>42560</v>
      </c>
      <c r="F14" s="12">
        <f>E14*12</f>
        <v/>
      </c>
      <c r="G14" s="13">
        <f>F14/D14*100</f>
        <v/>
      </c>
      <c r="H14" s="13">
        <f>IF(E14&gt;0,D14/E14,999)</f>
        <v/>
      </c>
      <c r="I14" s="8" t="inlineStr">
        <is>
          <t>Yield: +22%, Price: +10%</t>
        </is>
      </c>
    </row>
    <row r="15" ht="15" customHeight="1" s="9">
      <c r="A15" s="8" t="inlineStr">
        <is>
          <t>Genetics</t>
        </is>
      </c>
      <c r="B15" s="8" t="inlineStr">
        <is>
          <t>T3</t>
        </is>
      </c>
      <c r="C15" s="8" t="inlineStr">
        <is>
          <t>Signature Strains</t>
        </is>
      </c>
      <c r="D15" s="12" t="n">
        <v>500000</v>
      </c>
      <c r="E15" s="12" t="n">
        <v>62510</v>
      </c>
      <c r="F15" s="12">
        <f>E15*12</f>
        <v/>
      </c>
      <c r="G15" s="13">
        <f>F15/D15*100</f>
        <v/>
      </c>
      <c r="H15" s="13">
        <f>IF(E15&gt;0,D15/E15,999)</f>
        <v/>
      </c>
      <c r="I15" s="8" t="inlineStr">
        <is>
          <t>Yield: +35%, Price: +12%</t>
        </is>
      </c>
    </row>
    <row r="16" ht="15" customHeight="1" s="9">
      <c r="A16" s="8" t="inlineStr">
        <is>
          <t>Pre-Roll</t>
        </is>
      </c>
      <c r="B16" s="8" t="inlineStr">
        <is>
          <t>T1</t>
        </is>
      </c>
      <c r="C16" s="8" t="inlineStr">
        <is>
          <t>Hand Rolling</t>
        </is>
      </c>
      <c r="D16" s="12" t="n">
        <v>75000</v>
      </c>
      <c r="E16" s="12" t="n">
        <v>8000</v>
      </c>
      <c r="F16" s="12">
        <f>E16*12</f>
        <v/>
      </c>
      <c r="G16" s="13">
        <f>F16/D16*100</f>
        <v/>
      </c>
      <c r="H16" s="13">
        <f>IF(E16&gt;0,D16/E16,999)</f>
        <v/>
      </c>
    </row>
    <row r="17" ht="15" customHeight="1" s="9">
      <c r="A17" s="8" t="inlineStr">
        <is>
          <t>Pre-Roll</t>
        </is>
      </c>
      <c r="B17" s="8" t="inlineStr">
        <is>
          <t>T2</t>
        </is>
      </c>
      <c r="C17" s="8" t="inlineStr">
        <is>
          <t>Semi-Auto</t>
        </is>
      </c>
      <c r="D17" s="12" t="n">
        <v>180000</v>
      </c>
      <c r="E17" s="12" t="n">
        <v>22000</v>
      </c>
      <c r="F17" s="12">
        <f>E17*12</f>
        <v/>
      </c>
      <c r="G17" s="13">
        <f>F17/D17*100</f>
        <v/>
      </c>
      <c r="H17" s="13">
        <f>IF(E17&gt;0,D17/E17,999)</f>
        <v/>
      </c>
    </row>
    <row r="18" ht="15" customHeight="1" s="9">
      <c r="A18" s="8" t="inlineStr">
        <is>
          <t>Pre-Roll</t>
        </is>
      </c>
      <c r="B18" s="8" t="inlineStr">
        <is>
          <t>T3</t>
        </is>
      </c>
      <c r="C18" s="8" t="inlineStr">
        <is>
          <t>Full Pre-Roll</t>
        </is>
      </c>
      <c r="D18" s="12" t="n">
        <v>380000</v>
      </c>
      <c r="E18" s="12" t="n">
        <v>45000</v>
      </c>
      <c r="F18" s="12">
        <f>E18*12</f>
        <v/>
      </c>
      <c r="G18" s="13">
        <f>F18/D18*100</f>
        <v/>
      </c>
      <c r="H18" s="13">
        <f>IF(E18&gt;0,D18/E18,999)</f>
        <v/>
      </c>
    </row>
    <row r="19" ht="15" customHeight="1" s="9">
      <c r="A19" s="8" t="inlineStr">
        <is>
          <t>Operations</t>
        </is>
      </c>
      <c r="B19" s="8" t="inlineStr">
        <is>
          <t>T1</t>
        </is>
      </c>
      <c r="C19" s="8" t="inlineStr">
        <is>
          <t>Head Grower</t>
        </is>
      </c>
      <c r="D19" s="12" t="n">
        <v>100000</v>
      </c>
      <c r="E19" s="12" t="n">
        <v>3500</v>
      </c>
      <c r="F19" s="12">
        <f>E19*12</f>
        <v/>
      </c>
      <c r="G19" s="13">
        <f>F19/D19*100</f>
        <v/>
      </c>
      <c r="H19" s="13">
        <f>IF(E19&gt;0,D19/E19,999)</f>
        <v/>
      </c>
      <c r="I19" s="8" t="inlineStr">
        <is>
          <t>Enables auto-flip, faster cycles</t>
        </is>
      </c>
    </row>
    <row r="20" ht="15" customHeight="1" s="9">
      <c r="A20" s="8" t="inlineStr">
        <is>
          <t>Operations</t>
        </is>
      </c>
      <c r="B20" s="8" t="inlineStr">
        <is>
          <t>T2</t>
        </is>
      </c>
      <c r="C20" s="8" t="inlineStr">
        <is>
          <t>Specialist</t>
        </is>
      </c>
      <c r="D20" s="12" t="n">
        <v>200000</v>
      </c>
      <c r="E20" s="12" t="n">
        <v>5000</v>
      </c>
      <c r="F20" s="12">
        <f>E20*12</f>
        <v/>
      </c>
      <c r="G20" s="13">
        <f>F20/D20*100</f>
        <v/>
      </c>
      <c r="H20" s="13">
        <f>IF(E20&gt;0,D20/E20,999)</f>
        <v/>
      </c>
      <c r="I20" s="8" t="inlineStr">
        <is>
          <t>Faster cycles, better management</t>
        </is>
      </c>
    </row>
    <row r="21" ht="15" customHeight="1" s="9">
      <c r="A21" s="8" t="inlineStr">
        <is>
          <t>Operations</t>
        </is>
      </c>
      <c r="B21" s="8" t="inlineStr">
        <is>
          <t>T3</t>
        </is>
      </c>
      <c r="C21" s="8" t="inlineStr">
        <is>
          <t>Master Grower</t>
        </is>
      </c>
      <c r="D21" s="12" t="n">
        <v>350000</v>
      </c>
      <c r="E21" s="12" t="n">
        <v>6500</v>
      </c>
      <c r="F21" s="12">
        <f>E21*12</f>
        <v/>
      </c>
      <c r="G21" s="13">
        <f>F21/D21*100</f>
        <v/>
      </c>
      <c r="H21" s="13">
        <f>IF(E21&gt;0,D21/E21,999)</f>
        <v/>
      </c>
      <c r="I21" s="8" t="inlineStr">
        <is>
          <t>Fastest cycles, top efficiency</t>
        </is>
      </c>
    </row>
    <row r="24" ht="15" customHeight="1" s="9">
      <c r="A24" s="14" t="inlineStr">
        <is>
          <t>KEY INSIGHTS</t>
        </is>
      </c>
    </row>
    <row r="25" ht="15" customHeight="1" s="9">
      <c r="A25" s="8" t="inlineStr">
        <is>
          <t>Pre-Roll upgrades have the HIGHEST ROI (instant monthly revenue, no variable costs)</t>
        </is>
      </c>
    </row>
    <row r="26" ht="15" customHeight="1" s="9">
      <c r="A26" s="8" t="inlineStr">
        <is>
          <t>Genetics upgrades are strong (better yield + price, compounding effect)</t>
        </is>
      </c>
    </row>
    <row r="27" ht="15" customHeight="1" s="9">
      <c r="A27" s="8" t="inlineStr">
        <is>
          <t>Lighting: Good balance of cost/benefit, electricity savings + yield boost</t>
        </is>
      </c>
    </row>
    <row r="28" ht="15" customHeight="1" s="9">
      <c r="A28" s="8" t="inlineStr">
        <is>
          <t>Operations: Hard to quantify - enables faster cycles and auto-flip (strategic value)</t>
        </is>
      </c>
    </row>
    <row r="29" ht="15" customHeight="1" s="9">
      <c r="A29" s="8" t="inlineStr">
        <is>
          <t>Irrigation/Environmental: Cost-focused, good for farms with high labor/nutrient costs</t>
        </is>
      </c>
    </row>
    <row r="32" ht="15" customHeight="1" s="9">
      <c r="A32" s="14" t="inlineStr">
        <is>
          <t>METHODOLOGY &amp; ASSUMPTIONS</t>
        </is>
      </c>
    </row>
    <row r="33" ht="15" customHeight="1" s="9">
      <c r="A33" s="15" t="inlineStr">
        <is>
          <t>Average AMR</t>
        </is>
      </c>
      <c r="B33" s="16" t="inlineStr">
        <is>
          <t>$1,000/lb</t>
        </is>
      </c>
      <c r="C33" s="8" t="inlineStr">
        <is>
          <t>Conservative multi-year average</t>
        </is>
      </c>
    </row>
    <row r="34" ht="15" customHeight="1" s="9">
      <c r="A34" s="15" t="inlineStr">
        <is>
          <t>Harvests/Year</t>
        </is>
      </c>
      <c r="B34" s="16" t="inlineStr">
        <is>
          <t>3.8</t>
        </is>
      </c>
      <c r="C34" s="8" t="inlineStr">
        <is>
          <t>Based on 96-day cycle</t>
        </is>
      </c>
    </row>
    <row r="35" ht="15" customHeight="1" s="9">
      <c r="A35" s="15" t="inlineStr">
        <is>
          <t>Base Yield/Harvest</t>
        </is>
      </c>
      <c r="B35" s="16" t="inlineStr">
        <is>
          <t>420 lbs/room</t>
        </is>
      </c>
      <c r="C35" s="8" t="inlineStr">
        <is>
          <t>Per flower room</t>
        </is>
      </c>
    </row>
    <row r="36" ht="15" customHeight="1" s="9">
      <c r="A36" s="15" t="inlineStr">
        <is>
          <t>Monthly Labor</t>
        </is>
      </c>
      <c r="B36" s="16" t="inlineStr">
        <is>
          <t>$8,000</t>
        </is>
      </c>
      <c r="C36" s="8" t="inlineStr">
        <is>
          <t>Baseline per room</t>
        </is>
      </c>
    </row>
    <row r="37" ht="15" customHeight="1" s="9">
      <c r="A37" s="15" t="inlineStr">
        <is>
          <t>Monthly Electricity</t>
        </is>
      </c>
      <c r="B37" s="16" t="inlineStr">
        <is>
          <t>$6,000</t>
        </is>
      </c>
      <c r="C37" s="8" t="inlineStr">
        <is>
          <t>Baseline per room</t>
        </is>
      </c>
    </row>
    <row r="38" ht="15" customHeight="1" s="9">
      <c r="A38" s="15" t="inlineStr">
        <is>
          <t>Monthly Nutrients</t>
        </is>
      </c>
      <c r="B38" s="16" t="inlineStr">
        <is>
          <t>$2,000</t>
        </is>
      </c>
      <c r="C38" s="8" t="inlineStr">
        <is>
          <t>Baseline per room</t>
        </is>
      </c>
    </row>
    <row r="39" ht="15" customHeight="1" s="9">
      <c r="A39" s="15" t="inlineStr">
        <is>
          <t>Operations Benefit</t>
        </is>
      </c>
      <c r="B39" s="16" t="inlineStr">
        <is>
          <t>Estimated</t>
        </is>
      </c>
      <c r="C39" s="8" t="inlineStr">
        <is>
          <t>Enables faster cycles and automation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20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</cols>
  <sheetData>
    <row r="1">
      <c r="A1" s="17" t="inlineStr">
        <is>
          <t>ROOM-BY-ROOM UPGRADE COSTS</t>
        </is>
      </c>
    </row>
    <row r="3">
      <c r="A3" s="18" t="inlineStr">
        <is>
          <t>Room 1: Veg</t>
        </is>
      </c>
    </row>
    <row r="4">
      <c r="A4" s="19" t="inlineStr">
        <is>
          <t>Upgrade Track</t>
        </is>
      </c>
      <c r="B4" s="19" t="inlineStr">
        <is>
          <t>T1 Cost</t>
        </is>
      </c>
      <c r="C4" s="19" t="inlineStr">
        <is>
          <t>T2 Cost</t>
        </is>
      </c>
      <c r="D4" s="19" t="inlineStr">
        <is>
          <t>T3 Cost</t>
        </is>
      </c>
      <c r="E4" s="19" t="inlineStr">
        <is>
          <t>Max Cost</t>
        </is>
      </c>
    </row>
    <row r="5">
      <c r="A5" s="8" t="inlineStr">
        <is>
          <t>Lighting</t>
        </is>
      </c>
      <c r="B5" s="20" t="n">
        <v>120000</v>
      </c>
      <c r="C5" s="20" t="n">
        <v>280000</v>
      </c>
      <c r="D5" s="20" t="n">
        <v>520000</v>
      </c>
      <c r="E5" s="20">
        <f>SUM(B5:D5)</f>
        <v/>
      </c>
    </row>
    <row r="6">
      <c r="A6" s="8" t="inlineStr">
        <is>
          <t>Irrigation</t>
        </is>
      </c>
      <c r="B6" s="20" t="n">
        <v>80000</v>
      </c>
      <c r="C6" s="20" t="n">
        <v>200000</v>
      </c>
      <c r="D6" s="20" t="n">
        <v>420000</v>
      </c>
      <c r="E6" s="20">
        <f>SUM(B6:D6)</f>
        <v/>
      </c>
    </row>
    <row r="7">
      <c r="A7" s="8" t="inlineStr">
        <is>
          <t>Environmental</t>
        </is>
      </c>
      <c r="B7" s="20" t="n">
        <v>90000</v>
      </c>
      <c r="C7" s="20" t="n">
        <v>220000</v>
      </c>
      <c r="D7" s="20" t="n">
        <v>460000</v>
      </c>
      <c r="E7" s="20">
        <f>SUM(B7:D7)</f>
        <v/>
      </c>
    </row>
    <row r="8">
      <c r="A8" s="8" t="inlineStr">
        <is>
          <t>Genetics</t>
        </is>
      </c>
      <c r="B8" s="20" t="n">
        <v>100000</v>
      </c>
      <c r="C8" s="20" t="n">
        <v>250000</v>
      </c>
      <c r="D8" s="20" t="n">
        <v>500000</v>
      </c>
      <c r="E8" s="20">
        <f>SUM(B8:D8)</f>
        <v/>
      </c>
    </row>
    <row r="9">
      <c r="A9" s="8" t="inlineStr">
        <is>
          <t>Pre-Roll</t>
        </is>
      </c>
      <c r="B9" s="20" t="n">
        <v>75000</v>
      </c>
      <c r="C9" s="20" t="n">
        <v>180000</v>
      </c>
      <c r="D9" s="20" t="n">
        <v>380000</v>
      </c>
      <c r="E9" s="20">
        <f>SUM(B9:D9)</f>
        <v/>
      </c>
    </row>
    <row r="10">
      <c r="A10" s="8" t="inlineStr">
        <is>
          <t>Operations</t>
        </is>
      </c>
      <c r="B10" s="20" t="n">
        <v>100000</v>
      </c>
      <c r="C10" s="20" t="n">
        <v>200000</v>
      </c>
      <c r="D10" s="20" t="n">
        <v>350000</v>
      </c>
      <c r="E10" s="20">
        <f>SUM(B10:D10)</f>
        <v/>
      </c>
    </row>
    <row r="12">
      <c r="A12" s="19" t="inlineStr">
        <is>
          <t>Total All Upgrades</t>
        </is>
      </c>
      <c r="B12" s="19" t="n"/>
      <c r="C12" s="19" t="n"/>
      <c r="D12" s="19" t="n"/>
      <c r="E12" s="21">
        <f>SUM(E6:E11)</f>
        <v/>
      </c>
    </row>
    <row r="15">
      <c r="A15" s="18" t="inlineStr">
        <is>
          <t>Room 2: Flower 1</t>
        </is>
      </c>
      <c r="B15" s="22" t="inlineStr">
        <is>
          <t>Purchase: $250,000</t>
        </is>
      </c>
    </row>
    <row r="16">
      <c r="A16" s="19" t="inlineStr">
        <is>
          <t>Upgrade Track</t>
        </is>
      </c>
      <c r="B16" s="19" t="inlineStr">
        <is>
          <t>T1 Cost</t>
        </is>
      </c>
      <c r="C16" s="19" t="inlineStr">
        <is>
          <t>T2 Cost</t>
        </is>
      </c>
      <c r="D16" s="19" t="inlineStr">
        <is>
          <t>T3 Cost</t>
        </is>
      </c>
      <c r="E16" s="19" t="inlineStr">
        <is>
          <t>Max Cost</t>
        </is>
      </c>
    </row>
    <row r="17">
      <c r="A17" s="8" t="inlineStr">
        <is>
          <t>Lighting</t>
        </is>
      </c>
      <c r="B17" s="20" t="n">
        <v>120000</v>
      </c>
      <c r="C17" s="20" t="n">
        <v>280000</v>
      </c>
      <c r="D17" s="20" t="n">
        <v>520000</v>
      </c>
      <c r="E17" s="20">
        <f>SUM(B17:D17)</f>
        <v/>
      </c>
    </row>
    <row r="18">
      <c r="A18" s="8" t="inlineStr">
        <is>
          <t>Irrigation</t>
        </is>
      </c>
      <c r="B18" s="20" t="n">
        <v>80000</v>
      </c>
      <c r="C18" s="20" t="n">
        <v>200000</v>
      </c>
      <c r="D18" s="20" t="n">
        <v>420000</v>
      </c>
      <c r="E18" s="20">
        <f>SUM(B18:D18)</f>
        <v/>
      </c>
    </row>
    <row r="19">
      <c r="A19" s="8" t="inlineStr">
        <is>
          <t>Environmental</t>
        </is>
      </c>
      <c r="B19" s="20" t="n">
        <v>90000</v>
      </c>
      <c r="C19" s="20" t="n">
        <v>220000</v>
      </c>
      <c r="D19" s="20" t="n">
        <v>460000</v>
      </c>
      <c r="E19" s="20">
        <f>SUM(B19:D19)</f>
        <v/>
      </c>
    </row>
    <row r="20">
      <c r="A20" s="8" t="inlineStr">
        <is>
          <t>Genetics</t>
        </is>
      </c>
      <c r="B20" s="20" t="n">
        <v>100000</v>
      </c>
      <c r="C20" s="20" t="n">
        <v>250000</v>
      </c>
      <c r="D20" s="20" t="n">
        <v>500000</v>
      </c>
      <c r="E20" s="20">
        <f>SUM(B20:D20)</f>
        <v/>
      </c>
    </row>
    <row r="21">
      <c r="A21" s="8" t="inlineStr">
        <is>
          <t>Pre-Roll</t>
        </is>
      </c>
      <c r="B21" s="20" t="n">
        <v>75000</v>
      </c>
      <c r="C21" s="20" t="n">
        <v>180000</v>
      </c>
      <c r="D21" s="20" t="n">
        <v>380000</v>
      </c>
      <c r="E21" s="20">
        <f>SUM(B21:D21)</f>
        <v/>
      </c>
    </row>
    <row r="22">
      <c r="A22" s="8" t="inlineStr">
        <is>
          <t>Operations</t>
        </is>
      </c>
      <c r="B22" s="20" t="n">
        <v>100000</v>
      </c>
      <c r="C22" s="20" t="n">
        <v>200000</v>
      </c>
      <c r="D22" s="20" t="n">
        <v>350000</v>
      </c>
      <c r="E22" s="20">
        <f>SUM(B22:D22)</f>
        <v/>
      </c>
    </row>
    <row r="24">
      <c r="A24" s="19" t="inlineStr">
        <is>
          <t>Total All Upgrades</t>
        </is>
      </c>
      <c r="B24" s="19" t="n"/>
      <c r="C24" s="19" t="n"/>
      <c r="D24" s="19" t="n"/>
      <c r="E24" s="21">
        <f>SUM(E18:E23)</f>
        <v/>
      </c>
    </row>
    <row r="27">
      <c r="A27" s="18" t="inlineStr">
        <is>
          <t>Room 3: Flower 2</t>
        </is>
      </c>
      <c r="B27" s="22" t="inlineStr">
        <is>
          <t>Purchase: $350,000</t>
        </is>
      </c>
    </row>
    <row r="28">
      <c r="A28" s="19" t="inlineStr">
        <is>
          <t>Upgrade Track</t>
        </is>
      </c>
      <c r="B28" s="19" t="inlineStr">
        <is>
          <t>T1 Cost</t>
        </is>
      </c>
      <c r="C28" s="19" t="inlineStr">
        <is>
          <t>T2 Cost</t>
        </is>
      </c>
      <c r="D28" s="19" t="inlineStr">
        <is>
          <t>T3 Cost</t>
        </is>
      </c>
      <c r="E28" s="19" t="inlineStr">
        <is>
          <t>Max Cost</t>
        </is>
      </c>
    </row>
    <row r="29">
      <c r="A29" s="8" t="inlineStr">
        <is>
          <t>Lighting</t>
        </is>
      </c>
      <c r="B29" s="20" t="n">
        <v>120000</v>
      </c>
      <c r="C29" s="20" t="n">
        <v>280000</v>
      </c>
      <c r="D29" s="20" t="n">
        <v>520000</v>
      </c>
      <c r="E29" s="20">
        <f>SUM(B29:D29)</f>
        <v/>
      </c>
    </row>
    <row r="30">
      <c r="A30" s="8" t="inlineStr">
        <is>
          <t>Irrigation</t>
        </is>
      </c>
      <c r="B30" s="20" t="n">
        <v>80000</v>
      </c>
      <c r="C30" s="20" t="n">
        <v>200000</v>
      </c>
      <c r="D30" s="20" t="n">
        <v>420000</v>
      </c>
      <c r="E30" s="20">
        <f>SUM(B30:D30)</f>
        <v/>
      </c>
    </row>
    <row r="31">
      <c r="A31" s="8" t="inlineStr">
        <is>
          <t>Environmental</t>
        </is>
      </c>
      <c r="B31" s="20" t="n">
        <v>90000</v>
      </c>
      <c r="C31" s="20" t="n">
        <v>220000</v>
      </c>
      <c r="D31" s="20" t="n">
        <v>460000</v>
      </c>
      <c r="E31" s="20">
        <f>SUM(B31:D31)</f>
        <v/>
      </c>
    </row>
    <row r="32">
      <c r="A32" s="8" t="inlineStr">
        <is>
          <t>Genetics</t>
        </is>
      </c>
      <c r="B32" s="20" t="n">
        <v>100000</v>
      </c>
      <c r="C32" s="20" t="n">
        <v>250000</v>
      </c>
      <c r="D32" s="20" t="n">
        <v>500000</v>
      </c>
      <c r="E32" s="20">
        <f>SUM(B32:D32)</f>
        <v/>
      </c>
    </row>
    <row r="33">
      <c r="A33" s="8" t="inlineStr">
        <is>
          <t>Pre-Roll</t>
        </is>
      </c>
      <c r="B33" s="20" t="n">
        <v>75000</v>
      </c>
      <c r="C33" s="20" t="n">
        <v>180000</v>
      </c>
      <c r="D33" s="20" t="n">
        <v>380000</v>
      </c>
      <c r="E33" s="20">
        <f>SUM(B33:D33)</f>
        <v/>
      </c>
    </row>
    <row r="34">
      <c r="A34" s="8" t="inlineStr">
        <is>
          <t>Operations</t>
        </is>
      </c>
      <c r="B34" s="20" t="n">
        <v>100000</v>
      </c>
      <c r="C34" s="20" t="n">
        <v>200000</v>
      </c>
      <c r="D34" s="20" t="n">
        <v>350000</v>
      </c>
      <c r="E34" s="20">
        <f>SUM(B34:D34)</f>
        <v/>
      </c>
    </row>
    <row r="36">
      <c r="A36" s="19" t="inlineStr">
        <is>
          <t>Total All Upgrades</t>
        </is>
      </c>
      <c r="B36" s="19" t="n"/>
      <c r="C36" s="19" t="n"/>
      <c r="D36" s="19" t="n"/>
      <c r="E36" s="21">
        <f>SUM(E30:E35)</f>
        <v/>
      </c>
    </row>
    <row r="39">
      <c r="A39" s="18" t="inlineStr">
        <is>
          <t>Room 4: Flower 3</t>
        </is>
      </c>
      <c r="B39" s="22" t="inlineStr">
        <is>
          <t>Purchase: $450,000</t>
        </is>
      </c>
    </row>
    <row r="40">
      <c r="A40" s="19" t="inlineStr">
        <is>
          <t>Upgrade Track</t>
        </is>
      </c>
      <c r="B40" s="19" t="inlineStr">
        <is>
          <t>T1 Cost</t>
        </is>
      </c>
      <c r="C40" s="19" t="inlineStr">
        <is>
          <t>T2 Cost</t>
        </is>
      </c>
      <c r="D40" s="19" t="inlineStr">
        <is>
          <t>T3 Cost</t>
        </is>
      </c>
      <c r="E40" s="19" t="inlineStr">
        <is>
          <t>Max Cost</t>
        </is>
      </c>
    </row>
    <row r="41">
      <c r="A41" s="8" t="inlineStr">
        <is>
          <t>Lighting</t>
        </is>
      </c>
      <c r="B41" s="20" t="n">
        <v>120000</v>
      </c>
      <c r="C41" s="20" t="n">
        <v>280000</v>
      </c>
      <c r="D41" s="20" t="n">
        <v>520000</v>
      </c>
      <c r="E41" s="20">
        <f>SUM(B41:D41)</f>
        <v/>
      </c>
    </row>
    <row r="42">
      <c r="A42" s="8" t="inlineStr">
        <is>
          <t>Irrigation</t>
        </is>
      </c>
      <c r="B42" s="20" t="n">
        <v>80000</v>
      </c>
      <c r="C42" s="20" t="n">
        <v>200000</v>
      </c>
      <c r="D42" s="20" t="n">
        <v>420000</v>
      </c>
      <c r="E42" s="20">
        <f>SUM(B42:D42)</f>
        <v/>
      </c>
    </row>
    <row r="43">
      <c r="A43" s="8" t="inlineStr">
        <is>
          <t>Environmental</t>
        </is>
      </c>
      <c r="B43" s="20" t="n">
        <v>90000</v>
      </c>
      <c r="C43" s="20" t="n">
        <v>220000</v>
      </c>
      <c r="D43" s="20" t="n">
        <v>460000</v>
      </c>
      <c r="E43" s="20">
        <f>SUM(B43:D43)</f>
        <v/>
      </c>
    </row>
    <row r="44">
      <c r="A44" s="8" t="inlineStr">
        <is>
          <t>Genetics</t>
        </is>
      </c>
      <c r="B44" s="20" t="n">
        <v>100000</v>
      </c>
      <c r="C44" s="20" t="n">
        <v>250000</v>
      </c>
      <c r="D44" s="20" t="n">
        <v>500000</v>
      </c>
      <c r="E44" s="20">
        <f>SUM(B44:D44)</f>
        <v/>
      </c>
    </row>
    <row r="45">
      <c r="A45" s="8" t="inlineStr">
        <is>
          <t>Pre-Roll</t>
        </is>
      </c>
      <c r="B45" s="20" t="n">
        <v>75000</v>
      </c>
      <c r="C45" s="20" t="n">
        <v>180000</v>
      </c>
      <c r="D45" s="20" t="n">
        <v>380000</v>
      </c>
      <c r="E45" s="20">
        <f>SUM(B45:D45)</f>
        <v/>
      </c>
    </row>
    <row r="46">
      <c r="A46" s="8" t="inlineStr">
        <is>
          <t>Operations</t>
        </is>
      </c>
      <c r="B46" s="20" t="n">
        <v>100000</v>
      </c>
      <c r="C46" s="20" t="n">
        <v>200000</v>
      </c>
      <c r="D46" s="20" t="n">
        <v>350000</v>
      </c>
      <c r="E46" s="20">
        <f>SUM(B46:D46)</f>
        <v/>
      </c>
    </row>
    <row r="48">
      <c r="A48" s="19" t="inlineStr">
        <is>
          <t>Total All Upgrades</t>
        </is>
      </c>
      <c r="B48" s="19" t="n"/>
      <c r="C48" s="19" t="n"/>
      <c r="D48" s="19" t="n"/>
      <c r="E48" s="21">
        <f>SUM(E42:E47)</f>
        <v/>
      </c>
    </row>
    <row r="51">
      <c r="A51" s="18" t="inlineStr">
        <is>
          <t>Room 5: Flower 4</t>
        </is>
      </c>
      <c r="B51" s="22" t="inlineStr">
        <is>
          <t>Purchase: $600,000</t>
        </is>
      </c>
    </row>
    <row r="52">
      <c r="A52" s="19" t="inlineStr">
        <is>
          <t>Upgrade Track</t>
        </is>
      </c>
      <c r="B52" s="19" t="inlineStr">
        <is>
          <t>T1 Cost</t>
        </is>
      </c>
      <c r="C52" s="19" t="inlineStr">
        <is>
          <t>T2 Cost</t>
        </is>
      </c>
      <c r="D52" s="19" t="inlineStr">
        <is>
          <t>T3 Cost</t>
        </is>
      </c>
      <c r="E52" s="19" t="inlineStr">
        <is>
          <t>Max Cost</t>
        </is>
      </c>
    </row>
    <row r="53">
      <c r="A53" s="8" t="inlineStr">
        <is>
          <t>Lighting</t>
        </is>
      </c>
      <c r="B53" s="20" t="n">
        <v>120000</v>
      </c>
      <c r="C53" s="20" t="n">
        <v>280000</v>
      </c>
      <c r="D53" s="20" t="n">
        <v>520000</v>
      </c>
      <c r="E53" s="20">
        <f>SUM(B53:D53)</f>
        <v/>
      </c>
    </row>
    <row r="54">
      <c r="A54" s="8" t="inlineStr">
        <is>
          <t>Irrigation</t>
        </is>
      </c>
      <c r="B54" s="20" t="n">
        <v>80000</v>
      </c>
      <c r="C54" s="20" t="n">
        <v>200000</v>
      </c>
      <c r="D54" s="20" t="n">
        <v>420000</v>
      </c>
      <c r="E54" s="20">
        <f>SUM(B54:D54)</f>
        <v/>
      </c>
    </row>
    <row r="55">
      <c r="A55" s="8" t="inlineStr">
        <is>
          <t>Environmental</t>
        </is>
      </c>
      <c r="B55" s="20" t="n">
        <v>90000</v>
      </c>
      <c r="C55" s="20" t="n">
        <v>220000</v>
      </c>
      <c r="D55" s="20" t="n">
        <v>460000</v>
      </c>
      <c r="E55" s="20">
        <f>SUM(B55:D55)</f>
        <v/>
      </c>
    </row>
    <row r="56">
      <c r="A56" s="8" t="inlineStr">
        <is>
          <t>Genetics</t>
        </is>
      </c>
      <c r="B56" s="20" t="n">
        <v>100000</v>
      </c>
      <c r="C56" s="20" t="n">
        <v>250000</v>
      </c>
      <c r="D56" s="20" t="n">
        <v>500000</v>
      </c>
      <c r="E56" s="20">
        <f>SUM(B56:D56)</f>
        <v/>
      </c>
    </row>
    <row r="57">
      <c r="A57" s="8" t="inlineStr">
        <is>
          <t>Pre-Roll</t>
        </is>
      </c>
      <c r="B57" s="20" t="n">
        <v>75000</v>
      </c>
      <c r="C57" s="20" t="n">
        <v>180000</v>
      </c>
      <c r="D57" s="20" t="n">
        <v>380000</v>
      </c>
      <c r="E57" s="20">
        <f>SUM(B57:D57)</f>
        <v/>
      </c>
    </row>
    <row r="58">
      <c r="A58" s="8" t="inlineStr">
        <is>
          <t>Operations</t>
        </is>
      </c>
      <c r="B58" s="20" t="n">
        <v>100000</v>
      </c>
      <c r="C58" s="20" t="n">
        <v>200000</v>
      </c>
      <c r="D58" s="20" t="n">
        <v>350000</v>
      </c>
      <c r="E58" s="20">
        <f>SUM(B58:D58)</f>
        <v/>
      </c>
    </row>
    <row r="60">
      <c r="A60" s="19" t="inlineStr">
        <is>
          <t>Total All Upgrades</t>
        </is>
      </c>
      <c r="B60" s="19" t="n"/>
      <c r="C60" s="19" t="n"/>
      <c r="D60" s="19" t="n"/>
      <c r="E60" s="21">
        <f>SUM(E54:E59)</f>
        <v/>
      </c>
    </row>
    <row r="63">
      <c r="A63" s="18" t="inlineStr">
        <is>
          <t>Room 6: Flower 5</t>
        </is>
      </c>
      <c r="B63" s="22" t="inlineStr">
        <is>
          <t>Purchase: $750,000</t>
        </is>
      </c>
    </row>
    <row r="64">
      <c r="A64" s="19" t="inlineStr">
        <is>
          <t>Upgrade Track</t>
        </is>
      </c>
      <c r="B64" s="19" t="inlineStr">
        <is>
          <t>T1 Cost</t>
        </is>
      </c>
      <c r="C64" s="19" t="inlineStr">
        <is>
          <t>T2 Cost</t>
        </is>
      </c>
      <c r="D64" s="19" t="inlineStr">
        <is>
          <t>T3 Cost</t>
        </is>
      </c>
      <c r="E64" s="19" t="inlineStr">
        <is>
          <t>Max Cost</t>
        </is>
      </c>
    </row>
    <row r="65">
      <c r="A65" s="8" t="inlineStr">
        <is>
          <t>Lighting</t>
        </is>
      </c>
      <c r="B65" s="20" t="n">
        <v>120000</v>
      </c>
      <c r="C65" s="20" t="n">
        <v>280000</v>
      </c>
      <c r="D65" s="20" t="n">
        <v>520000</v>
      </c>
      <c r="E65" s="20">
        <f>SUM(B65:D65)</f>
        <v/>
      </c>
    </row>
    <row r="66">
      <c r="A66" s="8" t="inlineStr">
        <is>
          <t>Irrigation</t>
        </is>
      </c>
      <c r="B66" s="20" t="n">
        <v>80000</v>
      </c>
      <c r="C66" s="20" t="n">
        <v>200000</v>
      </c>
      <c r="D66" s="20" t="n">
        <v>420000</v>
      </c>
      <c r="E66" s="20">
        <f>SUM(B66:D66)</f>
        <v/>
      </c>
    </row>
    <row r="67">
      <c r="A67" s="8" t="inlineStr">
        <is>
          <t>Environmental</t>
        </is>
      </c>
      <c r="B67" s="20" t="n">
        <v>90000</v>
      </c>
      <c r="C67" s="20" t="n">
        <v>220000</v>
      </c>
      <c r="D67" s="20" t="n">
        <v>460000</v>
      </c>
      <c r="E67" s="20">
        <f>SUM(B67:D67)</f>
        <v/>
      </c>
    </row>
    <row r="68">
      <c r="A68" s="8" t="inlineStr">
        <is>
          <t>Genetics</t>
        </is>
      </c>
      <c r="B68" s="20" t="n">
        <v>100000</v>
      </c>
      <c r="C68" s="20" t="n">
        <v>250000</v>
      </c>
      <c r="D68" s="20" t="n">
        <v>500000</v>
      </c>
      <c r="E68" s="20">
        <f>SUM(B68:D68)</f>
        <v/>
      </c>
    </row>
    <row r="69">
      <c r="A69" s="8" t="inlineStr">
        <is>
          <t>Pre-Roll</t>
        </is>
      </c>
      <c r="B69" s="20" t="n">
        <v>75000</v>
      </c>
      <c r="C69" s="20" t="n">
        <v>180000</v>
      </c>
      <c r="D69" s="20" t="n">
        <v>380000</v>
      </c>
      <c r="E69" s="20">
        <f>SUM(B69:D69)</f>
        <v/>
      </c>
    </row>
    <row r="70">
      <c r="A70" s="8" t="inlineStr">
        <is>
          <t>Operations</t>
        </is>
      </c>
      <c r="B70" s="20" t="n">
        <v>100000</v>
      </c>
      <c r="C70" s="20" t="n">
        <v>200000</v>
      </c>
      <c r="D70" s="20" t="n">
        <v>350000</v>
      </c>
      <c r="E70" s="20">
        <f>SUM(B70:D70)</f>
        <v/>
      </c>
    </row>
    <row r="72">
      <c r="A72" s="19" t="inlineStr">
        <is>
          <t>Total All Upgrades</t>
        </is>
      </c>
      <c r="B72" s="19" t="n"/>
      <c r="C72" s="19" t="n"/>
      <c r="D72" s="19" t="n"/>
      <c r="E72" s="21">
        <f>SUM(E66:E71)</f>
        <v/>
      </c>
    </row>
    <row r="75">
      <c r="A75" s="18" t="inlineStr">
        <is>
          <t>Room 7: Flower 6</t>
        </is>
      </c>
      <c r="B75" s="22" t="inlineStr">
        <is>
          <t>Purchase: $900,000</t>
        </is>
      </c>
    </row>
    <row r="76">
      <c r="A76" s="19" t="inlineStr">
        <is>
          <t>Upgrade Track</t>
        </is>
      </c>
      <c r="B76" s="19" t="inlineStr">
        <is>
          <t>T1 Cost</t>
        </is>
      </c>
      <c r="C76" s="19" t="inlineStr">
        <is>
          <t>T2 Cost</t>
        </is>
      </c>
      <c r="D76" s="19" t="inlineStr">
        <is>
          <t>T3 Cost</t>
        </is>
      </c>
      <c r="E76" s="19" t="inlineStr">
        <is>
          <t>Max Cost</t>
        </is>
      </c>
    </row>
    <row r="77">
      <c r="A77" s="8" t="inlineStr">
        <is>
          <t>Lighting</t>
        </is>
      </c>
      <c r="B77" s="20" t="n">
        <v>120000</v>
      </c>
      <c r="C77" s="20" t="n">
        <v>280000</v>
      </c>
      <c r="D77" s="20" t="n">
        <v>520000</v>
      </c>
      <c r="E77" s="20">
        <f>SUM(B77:D77)</f>
        <v/>
      </c>
    </row>
    <row r="78">
      <c r="A78" s="8" t="inlineStr">
        <is>
          <t>Irrigation</t>
        </is>
      </c>
      <c r="B78" s="20" t="n">
        <v>80000</v>
      </c>
      <c r="C78" s="20" t="n">
        <v>200000</v>
      </c>
      <c r="D78" s="20" t="n">
        <v>420000</v>
      </c>
      <c r="E78" s="20">
        <f>SUM(B78:D78)</f>
        <v/>
      </c>
    </row>
    <row r="79">
      <c r="A79" s="8" t="inlineStr">
        <is>
          <t>Environmental</t>
        </is>
      </c>
      <c r="B79" s="20" t="n">
        <v>90000</v>
      </c>
      <c r="C79" s="20" t="n">
        <v>220000</v>
      </c>
      <c r="D79" s="20" t="n">
        <v>460000</v>
      </c>
      <c r="E79" s="20">
        <f>SUM(B79:D79)</f>
        <v/>
      </c>
    </row>
    <row r="80">
      <c r="A80" s="8" t="inlineStr">
        <is>
          <t>Genetics</t>
        </is>
      </c>
      <c r="B80" s="20" t="n">
        <v>100000</v>
      </c>
      <c r="C80" s="20" t="n">
        <v>250000</v>
      </c>
      <c r="D80" s="20" t="n">
        <v>500000</v>
      </c>
      <c r="E80" s="20">
        <f>SUM(B80:D80)</f>
        <v/>
      </c>
    </row>
    <row r="81">
      <c r="A81" s="8" t="inlineStr">
        <is>
          <t>Pre-Roll</t>
        </is>
      </c>
      <c r="B81" s="20" t="n">
        <v>75000</v>
      </c>
      <c r="C81" s="20" t="n">
        <v>180000</v>
      </c>
      <c r="D81" s="20" t="n">
        <v>380000</v>
      </c>
      <c r="E81" s="20">
        <f>SUM(B81:D81)</f>
        <v/>
      </c>
    </row>
    <row r="82">
      <c r="A82" s="8" t="inlineStr">
        <is>
          <t>Operations</t>
        </is>
      </c>
      <c r="B82" s="20" t="n">
        <v>100000</v>
      </c>
      <c r="C82" s="20" t="n">
        <v>200000</v>
      </c>
      <c r="D82" s="20" t="n">
        <v>350000</v>
      </c>
      <c r="E82" s="20">
        <f>SUM(B82:D82)</f>
        <v/>
      </c>
    </row>
    <row r="84">
      <c r="A84" s="19" t="inlineStr">
        <is>
          <t>Total All Upgrades</t>
        </is>
      </c>
      <c r="B84" s="19" t="n"/>
      <c r="C84" s="19" t="n"/>
      <c r="D84" s="19" t="n"/>
      <c r="E84" s="21">
        <f>SUM(E78:E83)</f>
        <v/>
      </c>
    </row>
    <row r="87">
      <c r="A87" s="18" t="inlineStr">
        <is>
          <t>Room 8: Flower 7</t>
        </is>
      </c>
      <c r="B87" s="22" t="inlineStr">
        <is>
          <t>Purchase: $1,000,000</t>
        </is>
      </c>
    </row>
    <row r="88">
      <c r="A88" s="19" t="inlineStr">
        <is>
          <t>Upgrade Track</t>
        </is>
      </c>
      <c r="B88" s="19" t="inlineStr">
        <is>
          <t>T1 Cost</t>
        </is>
      </c>
      <c r="C88" s="19" t="inlineStr">
        <is>
          <t>T2 Cost</t>
        </is>
      </c>
      <c r="D88" s="19" t="inlineStr">
        <is>
          <t>T3 Cost</t>
        </is>
      </c>
      <c r="E88" s="19" t="inlineStr">
        <is>
          <t>Max Cost</t>
        </is>
      </c>
    </row>
    <row r="89">
      <c r="A89" s="8" t="inlineStr">
        <is>
          <t>Lighting</t>
        </is>
      </c>
      <c r="B89" s="20" t="n">
        <v>120000</v>
      </c>
      <c r="C89" s="20" t="n">
        <v>280000</v>
      </c>
      <c r="D89" s="20" t="n">
        <v>520000</v>
      </c>
      <c r="E89" s="20">
        <f>SUM(B89:D89)</f>
        <v/>
      </c>
    </row>
    <row r="90">
      <c r="A90" s="8" t="inlineStr">
        <is>
          <t>Irrigation</t>
        </is>
      </c>
      <c r="B90" s="20" t="n">
        <v>80000</v>
      </c>
      <c r="C90" s="20" t="n">
        <v>200000</v>
      </c>
      <c r="D90" s="20" t="n">
        <v>420000</v>
      </c>
      <c r="E90" s="20">
        <f>SUM(B90:D90)</f>
        <v/>
      </c>
    </row>
    <row r="91">
      <c r="A91" s="8" t="inlineStr">
        <is>
          <t>Environmental</t>
        </is>
      </c>
      <c r="B91" s="20" t="n">
        <v>90000</v>
      </c>
      <c r="C91" s="20" t="n">
        <v>220000</v>
      </c>
      <c r="D91" s="20" t="n">
        <v>460000</v>
      </c>
      <c r="E91" s="20">
        <f>SUM(B91:D91)</f>
        <v/>
      </c>
    </row>
    <row r="92">
      <c r="A92" s="8" t="inlineStr">
        <is>
          <t>Genetics</t>
        </is>
      </c>
      <c r="B92" s="20" t="n">
        <v>100000</v>
      </c>
      <c r="C92" s="20" t="n">
        <v>250000</v>
      </c>
      <c r="D92" s="20" t="n">
        <v>500000</v>
      </c>
      <c r="E92" s="20">
        <f>SUM(B92:D92)</f>
        <v/>
      </c>
    </row>
    <row r="93">
      <c r="A93" s="8" t="inlineStr">
        <is>
          <t>Pre-Roll</t>
        </is>
      </c>
      <c r="B93" s="20" t="n">
        <v>75000</v>
      </c>
      <c r="C93" s="20" t="n">
        <v>180000</v>
      </c>
      <c r="D93" s="20" t="n">
        <v>380000</v>
      </c>
      <c r="E93" s="20">
        <f>SUM(B93:D93)</f>
        <v/>
      </c>
    </row>
    <row r="94">
      <c r="A94" s="8" t="inlineStr">
        <is>
          <t>Operations</t>
        </is>
      </c>
      <c r="B94" s="20" t="n">
        <v>100000</v>
      </c>
      <c r="C94" s="20" t="n">
        <v>200000</v>
      </c>
      <c r="D94" s="20" t="n">
        <v>350000</v>
      </c>
      <c r="E94" s="20">
        <f>SUM(B94:D94)</f>
        <v/>
      </c>
    </row>
    <row r="96">
      <c r="A96" s="19" t="inlineStr">
        <is>
          <t>Total All Upgrades</t>
        </is>
      </c>
      <c r="B96" s="19" t="n"/>
      <c r="C96" s="19" t="n"/>
      <c r="D96" s="19" t="n"/>
      <c r="E96" s="21">
        <f>SUM(E90:E95)</f>
        <v/>
      </c>
    </row>
    <row r="99">
      <c r="A99" s="18" t="inlineStr">
        <is>
          <t>Room 9: Flower 8</t>
        </is>
      </c>
      <c r="B99" s="22" t="inlineStr">
        <is>
          <t>Purchase: $1,100,000</t>
        </is>
      </c>
    </row>
    <row r="100">
      <c r="A100" s="19" t="inlineStr">
        <is>
          <t>Upgrade Track</t>
        </is>
      </c>
      <c r="B100" s="19" t="inlineStr">
        <is>
          <t>T1 Cost</t>
        </is>
      </c>
      <c r="C100" s="19" t="inlineStr">
        <is>
          <t>T2 Cost</t>
        </is>
      </c>
      <c r="D100" s="19" t="inlineStr">
        <is>
          <t>T3 Cost</t>
        </is>
      </c>
      <c r="E100" s="19" t="inlineStr">
        <is>
          <t>Max Cost</t>
        </is>
      </c>
    </row>
    <row r="101">
      <c r="A101" s="8" t="inlineStr">
        <is>
          <t>Lighting</t>
        </is>
      </c>
      <c r="B101" s="20" t="n">
        <v>120000</v>
      </c>
      <c r="C101" s="20" t="n">
        <v>280000</v>
      </c>
      <c r="D101" s="20" t="n">
        <v>520000</v>
      </c>
      <c r="E101" s="20">
        <f>SUM(B101:D101)</f>
        <v/>
      </c>
    </row>
    <row r="102">
      <c r="A102" s="8" t="inlineStr">
        <is>
          <t>Irrigation</t>
        </is>
      </c>
      <c r="B102" s="20" t="n">
        <v>80000</v>
      </c>
      <c r="C102" s="20" t="n">
        <v>200000</v>
      </c>
      <c r="D102" s="20" t="n">
        <v>420000</v>
      </c>
      <c r="E102" s="20">
        <f>SUM(B102:D102)</f>
        <v/>
      </c>
    </row>
    <row r="103">
      <c r="A103" s="8" t="inlineStr">
        <is>
          <t>Environmental</t>
        </is>
      </c>
      <c r="B103" s="20" t="n">
        <v>90000</v>
      </c>
      <c r="C103" s="20" t="n">
        <v>220000</v>
      </c>
      <c r="D103" s="20" t="n">
        <v>460000</v>
      </c>
      <c r="E103" s="20">
        <f>SUM(B103:D103)</f>
        <v/>
      </c>
    </row>
    <row r="104">
      <c r="A104" s="8" t="inlineStr">
        <is>
          <t>Genetics</t>
        </is>
      </c>
      <c r="B104" s="20" t="n">
        <v>100000</v>
      </c>
      <c r="C104" s="20" t="n">
        <v>250000</v>
      </c>
      <c r="D104" s="20" t="n">
        <v>500000</v>
      </c>
      <c r="E104" s="20">
        <f>SUM(B104:D104)</f>
        <v/>
      </c>
    </row>
    <row r="105">
      <c r="A105" s="8" t="inlineStr">
        <is>
          <t>Pre-Roll</t>
        </is>
      </c>
      <c r="B105" s="20" t="n">
        <v>75000</v>
      </c>
      <c r="C105" s="20" t="n">
        <v>180000</v>
      </c>
      <c r="D105" s="20" t="n">
        <v>380000</v>
      </c>
      <c r="E105" s="20">
        <f>SUM(B105:D105)</f>
        <v/>
      </c>
    </row>
    <row r="106">
      <c r="A106" s="8" t="inlineStr">
        <is>
          <t>Operations</t>
        </is>
      </c>
      <c r="B106" s="20" t="n">
        <v>100000</v>
      </c>
      <c r="C106" s="20" t="n">
        <v>200000</v>
      </c>
      <c r="D106" s="20" t="n">
        <v>350000</v>
      </c>
      <c r="E106" s="20">
        <f>SUM(B106:D106)</f>
        <v/>
      </c>
    </row>
    <row r="108">
      <c r="A108" s="19" t="inlineStr">
        <is>
          <t>Total All Upgrades</t>
        </is>
      </c>
      <c r="B108" s="19" t="n"/>
      <c r="C108" s="19" t="n"/>
      <c r="D108" s="19" t="n"/>
      <c r="E108" s="21">
        <f>SUM(E102:E107)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style="9" min="1" max="1"/>
    <col width="18" customWidth="1" style="9" min="2" max="2"/>
    <col width="50" customWidth="1" style="9" min="3" max="3"/>
  </cols>
  <sheetData>
    <row r="1">
      <c r="A1" s="23" t="inlineStr">
        <is>
          <t>UPGRADE TREE BALANCE ANALYSIS</t>
        </is>
      </c>
    </row>
    <row r="3">
      <c r="A3" s="18" t="inlineStr">
        <is>
          <t>BEST ROI UPGRADES (by tier)</t>
        </is>
      </c>
    </row>
    <row r="4">
      <c r="A4" s="8" t="inlineStr">
        <is>
          <t>Pre-Roll T3</t>
        </is>
      </c>
      <c r="B4" s="24" t="inlineStr">
        <is>
          <t>ROI: 142%</t>
        </is>
      </c>
      <c r="C4" s="8" t="inlineStr">
        <is>
          <t>Fastest payback, pure revenue</t>
        </is>
      </c>
    </row>
    <row r="5">
      <c r="A5" s="8" t="inlineStr">
        <is>
          <t>Pre-Roll T2</t>
        </is>
      </c>
      <c r="B5" s="24" t="inlineStr">
        <is>
          <t>ROI: 147%</t>
        </is>
      </c>
      <c r="C5" s="8" t="inlineStr">
        <is>
          <t>Great value, available from 2019</t>
        </is>
      </c>
    </row>
    <row r="6">
      <c r="A6" s="8" t="inlineStr">
        <is>
          <t>Pre-Roll T1</t>
        </is>
      </c>
      <c r="B6" s="24" t="inlineStr">
        <is>
          <t>ROI: 128%</t>
        </is>
      </c>
      <c r="C6" s="8" t="inlineStr">
        <is>
          <t>Earliest available (2016)</t>
        </is>
      </c>
    </row>
    <row r="7">
      <c r="A7" s="8" t="inlineStr">
        <is>
          <t>Genetics T3</t>
        </is>
      </c>
      <c r="B7" s="24" t="inlineStr">
        <is>
          <t>ROI: 84%</t>
        </is>
      </c>
      <c r="C7" s="8" t="inlineStr">
        <is>
          <t>Yield+price synergy</t>
        </is>
      </c>
    </row>
    <row r="8">
      <c r="A8" s="8" t="inlineStr">
        <is>
          <t>Genetics T2</t>
        </is>
      </c>
      <c r="B8" s="24" t="inlineStr">
        <is>
          <t>ROI: 71%</t>
        </is>
      </c>
      <c r="C8" s="8" t="inlineStr">
        <is>
          <t>Good balance</t>
        </is>
      </c>
    </row>
    <row r="9">
      <c r="A9" s="8" t="inlineStr">
        <is>
          <t>Lighting T3</t>
        </is>
      </c>
      <c r="B9" s="24" t="inlineStr">
        <is>
          <t>ROI: 28%</t>
        </is>
      </c>
      <c r="C9" s="8" t="inlineStr">
        <is>
          <t>Best efficiency gains</t>
        </is>
      </c>
    </row>
    <row r="12">
      <c r="A12" s="18" t="inlineStr">
        <is>
          <t>COST CONCERNS (potential balance issues)</t>
        </is>
      </c>
    </row>
    <row r="13">
      <c r="A13" s="8" t="inlineStr">
        <is>
          <t>Lighting T3</t>
        </is>
      </c>
      <c r="B13" s="22" t="inlineStr">
        <is>
          <t>$520k</t>
        </is>
      </c>
      <c r="C13" s="8" t="inlineStr">
        <is>
          <t>Tier 3 is expensive - consider T2 alternative</t>
        </is>
      </c>
    </row>
    <row r="14">
      <c r="A14" s="8" t="inlineStr">
        <is>
          <t>Genetics T3</t>
        </is>
      </c>
      <c r="B14" s="22" t="inlineStr">
        <is>
          <t>$500k</t>
        </is>
      </c>
      <c r="C14" s="8" t="inlineStr">
        <is>
          <t>Premium cost, but worth it for long-term play</t>
        </is>
      </c>
    </row>
    <row r="15">
      <c r="A15" s="8" t="inlineStr">
        <is>
          <t>Environmental T3</t>
        </is>
      </c>
      <c r="B15" s="22" t="inlineStr">
        <is>
          <t>$460k</t>
        </is>
      </c>
      <c r="C15" s="8" t="inlineStr">
        <is>
          <t>High cost, modest benefit</t>
        </is>
      </c>
    </row>
    <row r="16">
      <c r="A16" s="8" t="inlineStr">
        <is>
          <t>Pre-Roll T3</t>
        </is>
      </c>
      <c r="B16" s="22" t="inlineStr">
        <is>
          <t>$380k</t>
        </is>
      </c>
      <c r="C16" s="8" t="inlineStr">
        <is>
          <t>Expensive but justified by monthly revenue</t>
        </is>
      </c>
    </row>
    <row r="17">
      <c r="A17" s="8" t="inlineStr">
        <is>
          <t>Operations</t>
        </is>
      </c>
      <c r="B17" s="22" t="inlineStr">
        <is>
          <t>Variable</t>
        </is>
      </c>
      <c r="C17" s="8" t="inlineStr">
        <is>
          <t>T1-T3 progression: $100k→$200k→$350k feels steep for T3</t>
        </is>
      </c>
    </row>
    <row r="20">
      <c r="A20" s="18" t="inlineStr">
        <is>
          <t>REBALANCING SUGGESTIONS</t>
        </is>
      </c>
    </row>
    <row r="21">
      <c r="A21" s="8" t="inlineStr">
        <is>
          <t>1.</t>
        </is>
      </c>
      <c r="B21" s="8" t="inlineStr">
        <is>
          <t>Pre-Roll is TOO GOOD: Consider reducing monthly revenue slightly (e.g., T3 from $45k→$35k)</t>
        </is>
      </c>
    </row>
    <row r="22">
      <c r="A22" s="8" t="inlineStr">
        <is>
          <t>2.</t>
        </is>
      </c>
      <c r="B22" s="8" t="inlineStr">
        <is>
          <t>Lighting T3 ($520k) is expensive vs. T2 ($280k) for only +12% additional yield increase</t>
        </is>
      </c>
    </row>
    <row r="23">
      <c r="A23" s="8" t="inlineStr">
        <is>
          <t>3.</t>
        </is>
      </c>
      <c r="B23" s="8" t="inlineStr">
        <is>
          <t>Operations lacks quantifiable ROI - consider adding cycle time multiplier (2x faster = 2x harvests)</t>
        </is>
      </c>
    </row>
    <row r="24">
      <c r="A24" s="8" t="inlineStr">
        <is>
          <t>4.</t>
        </is>
      </c>
      <c r="B24" s="8" t="inlineStr">
        <is>
          <t>Environmental T3 ($460k) feels weak compared to $460k Lighting - boost nutrient/CO2 reductions</t>
        </is>
      </c>
    </row>
    <row r="25">
      <c r="A25" s="8" t="inlineStr">
        <is>
          <t>5.</t>
        </is>
      </c>
      <c r="B25" s="8" t="inlineStr">
        <is>
          <t>Genetics synergy is strong - keep this as a high-value option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0" customWidth="1" style="9" min="1" max="1"/>
    <col width="22" customWidth="1" style="9" min="2" max="2"/>
    <col width="12" customWidth="1" style="9" min="3" max="3"/>
    <col width="12" customWidth="1" style="9" min="4" max="4"/>
    <col width="15" customWidth="1" style="9" min="5" max="5"/>
    <col width="50" customWidth="1" style="9" min="6" max="6"/>
  </cols>
  <sheetData>
    <row r="1">
      <c r="A1" s="23" t="inlineStr">
        <is>
          <t>DETAILED TIER-BY-TIER ANALYSIS</t>
        </is>
      </c>
    </row>
    <row r="3">
      <c r="A3" s="25" t="inlineStr">
        <is>
          <t>LIGHTING</t>
        </is>
      </c>
    </row>
    <row r="4">
      <c r="A4" s="19" t="inlineStr">
        <is>
          <t>Tier</t>
        </is>
      </c>
      <c r="B4" s="19" t="inlineStr">
        <is>
          <t>Name</t>
        </is>
      </c>
      <c r="C4" s="19" t="inlineStr">
        <is>
          <t>Cost</t>
        </is>
      </c>
      <c r="D4" s="19" t="inlineStr">
        <is>
          <t>Cost/Tier</t>
        </is>
      </c>
      <c r="E4" s="19" t="inlineStr">
        <is>
          <t>Cost Multiplier</t>
        </is>
      </c>
      <c r="F4" s="19" t="inlineStr">
        <is>
          <t>Key Benefits</t>
        </is>
      </c>
    </row>
    <row r="5">
      <c r="A5" t="inlineStr">
        <is>
          <t>T1</t>
        </is>
      </c>
      <c r="B5" t="inlineStr">
        <is>
          <t>HPS Upgrade</t>
        </is>
      </c>
      <c r="C5" s="20" t="n">
        <v>120000</v>
      </c>
      <c r="D5" s="20" t="n">
        <v>120000</v>
      </c>
      <c r="E5" s="26" t="n">
        <v>1</v>
      </c>
      <c r="F5" t="inlineStr">
        <is>
          <t>Electricity -15%, Yield +8%</t>
        </is>
      </c>
    </row>
    <row r="6">
      <c r="A6" t="inlineStr">
        <is>
          <t>T2</t>
        </is>
      </c>
      <c r="B6" t="inlineStr">
        <is>
          <t>LED Hybrid</t>
        </is>
      </c>
      <c r="C6" s="20" t="n">
        <v>280000</v>
      </c>
      <c r="D6" s="20" t="n">
        <v>160000</v>
      </c>
      <c r="E6" s="26" t="n">
        <v>2.333333333333333</v>
      </c>
      <c r="F6" t="inlineStr">
        <is>
          <t>Electricity -28%, Yield +18%</t>
        </is>
      </c>
    </row>
    <row r="7">
      <c r="A7" t="inlineStr">
        <is>
          <t>T3</t>
        </is>
      </c>
      <c r="B7" t="inlineStr">
        <is>
          <t>Fluence/Fohse</t>
        </is>
      </c>
      <c r="C7" s="20" t="n">
        <v>520000</v>
      </c>
      <c r="D7" s="20" t="n">
        <v>240000</v>
      </c>
      <c r="E7" s="26" t="n">
        <v>1.857142857142857</v>
      </c>
      <c r="F7" t="inlineStr">
        <is>
          <t>Electricity -40%, Yield +30%</t>
        </is>
      </c>
    </row>
    <row r="10">
      <c r="A10" s="25" t="inlineStr">
        <is>
          <t>IRRIGATION</t>
        </is>
      </c>
    </row>
    <row r="11">
      <c r="A11" s="19" t="inlineStr">
        <is>
          <t>Tier</t>
        </is>
      </c>
      <c r="B11" s="19" t="inlineStr">
        <is>
          <t>Name</t>
        </is>
      </c>
      <c r="C11" s="19" t="inlineStr">
        <is>
          <t>Cost</t>
        </is>
      </c>
      <c r="D11" s="19" t="inlineStr">
        <is>
          <t>Cost/Tier</t>
        </is>
      </c>
      <c r="E11" s="19" t="inlineStr">
        <is>
          <t>Cost Multiplier</t>
        </is>
      </c>
      <c r="F11" s="19" t="inlineStr">
        <is>
          <t>Key Benefits</t>
        </is>
      </c>
    </row>
    <row r="12">
      <c r="A12" t="inlineStr">
        <is>
          <t>T1</t>
        </is>
      </c>
      <c r="B12" t="inlineStr">
        <is>
          <t>Manual Optimization</t>
        </is>
      </c>
      <c r="C12" s="20" t="n">
        <v>80000</v>
      </c>
      <c r="D12" s="20" t="n">
        <v>80000</v>
      </c>
      <c r="E12" s="26" t="n">
        <v>1</v>
      </c>
      <c r="F12" t="inlineStr">
        <is>
          <t>Labor -8%</t>
        </is>
      </c>
    </row>
    <row r="13">
      <c r="A13" t="inlineStr">
        <is>
          <t>T2</t>
        </is>
      </c>
      <c r="B13" t="inlineStr">
        <is>
          <t>Semi-Automated</t>
        </is>
      </c>
      <c r="C13" s="20" t="n">
        <v>200000</v>
      </c>
      <c r="D13" s="20" t="n">
        <v>120000</v>
      </c>
      <c r="E13" s="26" t="n">
        <v>2.5</v>
      </c>
      <c r="F13" t="inlineStr">
        <is>
          <t>Labor -16%</t>
        </is>
      </c>
    </row>
    <row r="14">
      <c r="A14" t="inlineStr">
        <is>
          <t>T3</t>
        </is>
      </c>
      <c r="B14" t="inlineStr">
        <is>
          <t>Full Automation</t>
        </is>
      </c>
      <c r="C14" s="20" t="n">
        <v>420000</v>
      </c>
      <c r="D14" s="20" t="n">
        <v>220000</v>
      </c>
      <c r="E14" s="26" t="n">
        <v>2.1</v>
      </c>
      <c r="F14" t="inlineStr">
        <is>
          <t>Labor -25%</t>
        </is>
      </c>
    </row>
    <row r="17">
      <c r="A17" s="25" t="inlineStr">
        <is>
          <t>ENVIRONMENTAL</t>
        </is>
      </c>
    </row>
    <row r="18">
      <c r="A18" s="19" t="inlineStr">
        <is>
          <t>Tier</t>
        </is>
      </c>
      <c r="B18" s="19" t="inlineStr">
        <is>
          <t>Name</t>
        </is>
      </c>
      <c r="C18" s="19" t="inlineStr">
        <is>
          <t>Cost</t>
        </is>
      </c>
      <c r="D18" s="19" t="inlineStr">
        <is>
          <t>Cost/Tier</t>
        </is>
      </c>
      <c r="E18" s="19" t="inlineStr">
        <is>
          <t>Cost Multiplier</t>
        </is>
      </c>
      <c r="F18" s="19" t="inlineStr">
        <is>
          <t>Key Benefits</t>
        </is>
      </c>
    </row>
    <row r="19">
      <c r="A19" t="inlineStr">
        <is>
          <t>T1</t>
        </is>
      </c>
      <c r="B19" t="inlineStr">
        <is>
          <t>Basic HVAC</t>
        </is>
      </c>
      <c r="C19" s="20" t="n">
        <v>90000</v>
      </c>
      <c r="D19" s="20" t="n">
        <v>90000</v>
      </c>
      <c r="E19" s="26" t="n">
        <v>1</v>
      </c>
      <c r="F19" t="inlineStr">
        <is>
          <t>Nutrient -8%, CO2 -10%</t>
        </is>
      </c>
    </row>
    <row r="20">
      <c r="A20" t="inlineStr">
        <is>
          <t>T2</t>
        </is>
      </c>
      <c r="B20" t="inlineStr">
        <is>
          <t>Climate Monitor</t>
        </is>
      </c>
      <c r="C20" s="20" t="n">
        <v>220000</v>
      </c>
      <c r="D20" s="20" t="n">
        <v>130000</v>
      </c>
      <c r="E20" s="26" t="n">
        <v>2.444444444444445</v>
      </c>
      <c r="F20" t="inlineStr">
        <is>
          <t>Nutrient -12%, CO2 -15%</t>
        </is>
      </c>
    </row>
    <row r="21">
      <c r="A21" t="inlineStr">
        <is>
          <t>T3</t>
        </is>
      </c>
      <c r="B21" t="inlineStr">
        <is>
          <t>Argus Control</t>
        </is>
      </c>
      <c r="C21" s="20" t="n">
        <v>460000</v>
      </c>
      <c r="D21" s="20" t="n">
        <v>240000</v>
      </c>
      <c r="E21" s="26" t="n">
        <v>2.090909090909091</v>
      </c>
      <c r="F21" t="inlineStr">
        <is>
          <t>Nutrient -15%, CO2 -20%</t>
        </is>
      </c>
    </row>
    <row r="24">
      <c r="A24" s="25" t="inlineStr">
        <is>
          <t>GENETICS</t>
        </is>
      </c>
    </row>
    <row r="25">
      <c r="A25" s="19" t="inlineStr">
        <is>
          <t>Tier</t>
        </is>
      </c>
      <c r="B25" s="19" t="inlineStr">
        <is>
          <t>Name</t>
        </is>
      </c>
      <c r="C25" s="19" t="inlineStr">
        <is>
          <t>Cost</t>
        </is>
      </c>
      <c r="D25" s="19" t="inlineStr">
        <is>
          <t>Cost/Tier</t>
        </is>
      </c>
      <c r="E25" s="19" t="inlineStr">
        <is>
          <t>Cost Multiplier</t>
        </is>
      </c>
      <c r="F25" s="19" t="inlineStr">
        <is>
          <t>Key Benefits</t>
        </is>
      </c>
    </row>
    <row r="26">
      <c r="A26" t="inlineStr">
        <is>
          <t>T1</t>
        </is>
      </c>
      <c r="B26" t="inlineStr">
        <is>
          <t>Proven Strains</t>
        </is>
      </c>
      <c r="C26" s="20" t="n">
        <v>100000</v>
      </c>
      <c r="D26" s="20" t="n">
        <v>100000</v>
      </c>
      <c r="E26" s="26" t="n">
        <v>1</v>
      </c>
      <c r="F26" t="inlineStr">
        <is>
          <t>Yield +10%, Price +5%</t>
        </is>
      </c>
    </row>
    <row r="27">
      <c r="A27" t="inlineStr">
        <is>
          <t>T2</t>
        </is>
      </c>
      <c r="B27" t="inlineStr">
        <is>
          <t>Premium Genetics</t>
        </is>
      </c>
      <c r="C27" s="20" t="n">
        <v>250000</v>
      </c>
      <c r="D27" s="20" t="n">
        <v>150000</v>
      </c>
      <c r="E27" s="26" t="n">
        <v>2.5</v>
      </c>
      <c r="F27" t="inlineStr">
        <is>
          <t>Yield +22%, Price +10%</t>
        </is>
      </c>
    </row>
    <row r="28">
      <c r="A28" t="inlineStr">
        <is>
          <t>T3</t>
        </is>
      </c>
      <c r="B28" t="inlineStr">
        <is>
          <t>Signature Strains</t>
        </is>
      </c>
      <c r="C28" s="20" t="n">
        <v>500000</v>
      </c>
      <c r="D28" s="20" t="n">
        <v>250000</v>
      </c>
      <c r="E28" s="26" t="n">
        <v>2</v>
      </c>
      <c r="F28" t="inlineStr">
        <is>
          <t>Yield +35%, Price +12%</t>
        </is>
      </c>
    </row>
    <row r="31">
      <c r="A31" s="25" t="inlineStr">
        <is>
          <t>PRE-ROLL</t>
        </is>
      </c>
    </row>
    <row r="32">
      <c r="A32" s="19" t="inlineStr">
        <is>
          <t>Tier</t>
        </is>
      </c>
      <c r="B32" s="19" t="inlineStr">
        <is>
          <t>Name</t>
        </is>
      </c>
      <c r="C32" s="19" t="inlineStr">
        <is>
          <t>Cost</t>
        </is>
      </c>
      <c r="D32" s="19" t="inlineStr">
        <is>
          <t>Cost/Tier</t>
        </is>
      </c>
      <c r="E32" s="19" t="inlineStr">
        <is>
          <t>Cost Multiplier</t>
        </is>
      </c>
      <c r="F32" s="19" t="inlineStr">
        <is>
          <t>Key Benefits</t>
        </is>
      </c>
    </row>
    <row r="33">
      <c r="A33" t="inlineStr">
        <is>
          <t>T1</t>
        </is>
      </c>
      <c r="B33" t="inlineStr">
        <is>
          <t>Hand Rolling</t>
        </is>
      </c>
      <c r="C33" s="20" t="n">
        <v>75000</v>
      </c>
      <c r="D33" s="20" t="n">
        <v>75000</v>
      </c>
      <c r="E33" s="26" t="n">
        <v>1</v>
      </c>
      <c r="F33" t="inlineStr">
        <is>
          <t>Revenue +$8,000/mo</t>
        </is>
      </c>
    </row>
    <row r="34">
      <c r="A34" t="inlineStr">
        <is>
          <t>T2</t>
        </is>
      </c>
      <c r="B34" t="inlineStr">
        <is>
          <t>Semi-Auto</t>
        </is>
      </c>
      <c r="C34" s="20" t="n">
        <v>180000</v>
      </c>
      <c r="D34" s="20" t="n">
        <v>105000</v>
      </c>
      <c r="E34" s="26" t="n">
        <v>2.4</v>
      </c>
      <c r="F34" t="inlineStr">
        <is>
          <t>Revenue +$22,000/mo</t>
        </is>
      </c>
    </row>
    <row r="35">
      <c r="A35" t="inlineStr">
        <is>
          <t>T3</t>
        </is>
      </c>
      <c r="B35" t="inlineStr">
        <is>
          <t>Full Pre-Roll</t>
        </is>
      </c>
      <c r="C35" s="20" t="n">
        <v>380000</v>
      </c>
      <c r="D35" s="20" t="n">
        <v>200000</v>
      </c>
      <c r="E35" s="26" t="n">
        <v>2.111111111111111</v>
      </c>
      <c r="F35" t="inlineStr">
        <is>
          <t>Revenue +$45,000/mo</t>
        </is>
      </c>
    </row>
    <row r="38">
      <c r="A38" s="25" t="inlineStr">
        <is>
          <t>OPERATIONS</t>
        </is>
      </c>
    </row>
    <row r="39">
      <c r="A39" s="19" t="inlineStr">
        <is>
          <t>Tier</t>
        </is>
      </c>
      <c r="B39" s="19" t="inlineStr">
        <is>
          <t>Name</t>
        </is>
      </c>
      <c r="C39" s="19" t="inlineStr">
        <is>
          <t>Cost</t>
        </is>
      </c>
      <c r="D39" s="19" t="inlineStr">
        <is>
          <t>Cost/Tier</t>
        </is>
      </c>
      <c r="E39" s="19" t="inlineStr">
        <is>
          <t>Cost Multiplier</t>
        </is>
      </c>
      <c r="F39" s="19" t="inlineStr">
        <is>
          <t>Key Benefits</t>
        </is>
      </c>
    </row>
    <row r="40">
      <c r="A40" t="inlineStr">
        <is>
          <t>T1</t>
        </is>
      </c>
      <c r="B40" t="inlineStr">
        <is>
          <t>Head Grower</t>
        </is>
      </c>
      <c r="C40" s="20" t="n">
        <v>100000</v>
      </c>
      <c r="D40" s="20" t="n">
        <v>100000</v>
      </c>
      <c r="E40" s="26" t="n">
        <v>1</v>
      </c>
      <c r="F40" t="inlineStr">
        <is>
          <t>Enables auto-flip, 50% faster cycles</t>
        </is>
      </c>
    </row>
    <row r="41">
      <c r="A41" t="inlineStr">
        <is>
          <t>T2</t>
        </is>
      </c>
      <c r="B41" t="inlineStr">
        <is>
          <t>Specialist</t>
        </is>
      </c>
      <c r="C41" s="20" t="n">
        <v>200000</v>
      </c>
      <c r="D41" s="20" t="n">
        <v>100000</v>
      </c>
      <c r="E41" s="26" t="n">
        <v>2</v>
      </c>
      <c r="F41" t="inlineStr">
        <is>
          <t>Veg -1 day, Flower -2 days</t>
        </is>
      </c>
    </row>
    <row r="42">
      <c r="A42" t="inlineStr">
        <is>
          <t>T3</t>
        </is>
      </c>
      <c r="B42" t="inlineStr">
        <is>
          <t>Master Grower</t>
        </is>
      </c>
      <c r="C42" s="20" t="n">
        <v>350000</v>
      </c>
      <c r="D42" s="20" t="n">
        <v>150000</v>
      </c>
      <c r="E42" s="26" t="n">
        <v>1.75</v>
      </c>
      <c r="F42" t="inlineStr">
        <is>
          <t>Veg -2 days, Flower -3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2026-03-24T21:31:56Z</dcterms:created>
  <dcterms:modified xmlns:dcterms="http://purl.org/dc/terms/" xmlns:xsi="http://www.w3.org/2001/XMLSchema-instance" xsi:type="dcterms:W3CDTF">2026-03-24T21:32:26Z</dcterms:modified>
  <cp:revision>0</cp:revision>
</cp:coreProperties>
</file>